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List" sheetId="1" r:id="rId5"/>
    <sheet state="visible" name="Size Summary" sheetId="2" r:id="rId6"/>
    <sheet state="visible" name="Payment Summary" sheetId="3" r:id="rId7"/>
    <sheet state="visible" name="Customer Details" sheetId="4" r:id="rId8"/>
  </sheets>
  <definedNames>
    <definedName hidden="1" localSheetId="0" name="_xlnm._FilterDatabase">'Complete List'!$A$1:$G$149</definedName>
  </definedNames>
  <calcPr/>
</workbook>
</file>

<file path=xl/sharedStrings.xml><?xml version="1.0" encoding="utf-8"?>
<sst xmlns="http://schemas.openxmlformats.org/spreadsheetml/2006/main" count="1138" uniqueCount="129">
  <si>
    <t>Size</t>
  </si>
  <si>
    <t>Payment Mode</t>
  </si>
  <si>
    <t>Entries</t>
  </si>
  <si>
    <t>Total_Amount</t>
  </si>
  <si>
    <t>Cash</t>
  </si>
  <si>
    <t>GPay</t>
  </si>
  <si>
    <t>Number</t>
  </si>
  <si>
    <t>Name</t>
  </si>
  <si>
    <t>Amount (₹)</t>
  </si>
  <si>
    <t>Cash Amount (₹)</t>
  </si>
  <si>
    <t>GPay Amount (₹)</t>
  </si>
  <si>
    <t>Name (English)</t>
  </si>
  <si>
    <t>Pending</t>
  </si>
  <si>
    <t>Payment</t>
  </si>
  <si>
    <t xml:space="preserve">राहुल राऊत </t>
  </si>
  <si>
    <t xml:space="preserve">वेदांत तांडेल </t>
  </si>
  <si>
    <t>राहुल नाईक</t>
  </si>
  <si>
    <t xml:space="preserve">भावनेश मेहेर </t>
  </si>
  <si>
    <t>मनीष मेहेर</t>
  </si>
  <si>
    <t>सुनील चौधरी</t>
  </si>
  <si>
    <t xml:space="preserve">जन्मेश तांडेल </t>
  </si>
  <si>
    <t>रोहन तरे</t>
  </si>
  <si>
    <t xml:space="preserve">अजय दादोडे </t>
  </si>
  <si>
    <t xml:space="preserve">Cash </t>
  </si>
  <si>
    <t>निलेश मेहेर</t>
  </si>
  <si>
    <t>अतुल तांडेल</t>
  </si>
  <si>
    <t xml:space="preserve">विनु केणी </t>
  </si>
  <si>
    <t xml:space="preserve">अमोल राऊत </t>
  </si>
  <si>
    <t xml:space="preserve">जिग्नेश चौधरी </t>
  </si>
  <si>
    <t>निखिल मेहेर</t>
  </si>
  <si>
    <t>देव</t>
  </si>
  <si>
    <t xml:space="preserve">अतुल तांडेल </t>
  </si>
  <si>
    <t xml:space="preserve">योगेश धनु </t>
  </si>
  <si>
    <t xml:space="preserve">सागर दवणे </t>
  </si>
  <si>
    <t>प्रणाली पाटील</t>
  </si>
  <si>
    <t xml:space="preserve">तृणाल तरे </t>
  </si>
  <si>
    <t>अक्षय चौधरी</t>
  </si>
  <si>
    <t xml:space="preserve">सार्थक दवणे </t>
  </si>
  <si>
    <t>वैभव राऊत</t>
  </si>
  <si>
    <t>मानवेंद्र चौधरी</t>
  </si>
  <si>
    <t>हर्षित तांडेल</t>
  </si>
  <si>
    <t xml:space="preserve">ॐ धानमेहर </t>
  </si>
  <si>
    <t xml:space="preserve">दिशांत तांडेल </t>
  </si>
  <si>
    <t xml:space="preserve">जन्मेश राऊत </t>
  </si>
  <si>
    <t>रोहन चौधरी</t>
  </si>
  <si>
    <t xml:space="preserve">निकेत चौधरी </t>
  </si>
  <si>
    <t>चेतन तरे</t>
  </si>
  <si>
    <t>प्रफुल्ल चौधरी</t>
  </si>
  <si>
    <t>भावेश चौधरी</t>
  </si>
  <si>
    <t>यश किणी</t>
  </si>
  <si>
    <t>महेश चौधरी</t>
  </si>
  <si>
    <t>मंगेश चौधरी</t>
  </si>
  <si>
    <t>चैतन्य नाईक</t>
  </si>
  <si>
    <t xml:space="preserve">ध्रुव तांडेल </t>
  </si>
  <si>
    <t xml:space="preserve">अमोल पाटील. </t>
  </si>
  <si>
    <t xml:space="preserve">हार्दिक तरे </t>
  </si>
  <si>
    <t>भावेश मेहेर</t>
  </si>
  <si>
    <t>नितेश चौधरी</t>
  </si>
  <si>
    <t xml:space="preserve">कृपेश तांडेल </t>
  </si>
  <si>
    <t>कुलदीप नाईक</t>
  </si>
  <si>
    <t xml:space="preserve">हर्षित तांडेल </t>
  </si>
  <si>
    <t>राकेश पाटील</t>
  </si>
  <si>
    <t xml:space="preserve">संजय दुबळ </t>
  </si>
  <si>
    <t xml:space="preserve">प्रणय तांडेल </t>
  </si>
  <si>
    <t>रोहित तांडेल</t>
  </si>
  <si>
    <t xml:space="preserve">शांतू बाबा </t>
  </si>
  <si>
    <t>वंश तांडेल</t>
  </si>
  <si>
    <t xml:space="preserve">सचिन राऊत </t>
  </si>
  <si>
    <t>कुणाल चौधरी</t>
  </si>
  <si>
    <t>जयेश नाईक</t>
  </si>
  <si>
    <t>प्रीतम चौधरी</t>
  </si>
  <si>
    <t>प्रतिक चौधरी</t>
  </si>
  <si>
    <t>अनिश चौधरी</t>
  </si>
  <si>
    <t>कांचन चौधरी</t>
  </si>
  <si>
    <t>जितू चौधरी</t>
  </si>
  <si>
    <t>निकेत चौधरी</t>
  </si>
  <si>
    <t xml:space="preserve">मयूर धनमेहर </t>
  </si>
  <si>
    <t>हेमचंद्र मेहेर</t>
  </si>
  <si>
    <t>हेमंत नाईक</t>
  </si>
  <si>
    <t>रोहन मेहेर</t>
  </si>
  <si>
    <t xml:space="preserve">यश राऊत </t>
  </si>
  <si>
    <t xml:space="preserve">चिराग चौधरी </t>
  </si>
  <si>
    <t xml:space="preserve">प्रज्योत धनु </t>
  </si>
  <si>
    <t xml:space="preserve">तुषार तांडेल </t>
  </si>
  <si>
    <t>सोहम आरेकर</t>
  </si>
  <si>
    <t>प्रणय तांडेल</t>
  </si>
  <si>
    <t>प्रणय चौधरी</t>
  </si>
  <si>
    <t xml:space="preserve">अमोल पाटील </t>
  </si>
  <si>
    <t>भुपेश मेहेर</t>
  </si>
  <si>
    <t>स्मित तांडेल</t>
  </si>
  <si>
    <t xml:space="preserve">वंश तांडेल </t>
  </si>
  <si>
    <t xml:space="preserve">चिरायु केणी </t>
  </si>
  <si>
    <t>विनोद मेहेर</t>
  </si>
  <si>
    <t xml:space="preserve">हर्ष तामोरे </t>
  </si>
  <si>
    <t xml:space="preserve">तनिष राऊत </t>
  </si>
  <si>
    <t>तक्ष चौधरी</t>
  </si>
  <si>
    <t>तुषार नाईक</t>
  </si>
  <si>
    <t>साई मेहेर</t>
  </si>
  <si>
    <t xml:space="preserve">हर्षित राऊत </t>
  </si>
  <si>
    <t xml:space="preserve">जित राऊत </t>
  </si>
  <si>
    <t>जिग्नेश चौधरी</t>
  </si>
  <si>
    <t xml:space="preserve">सोहम राऊत </t>
  </si>
  <si>
    <t>कुणाल</t>
  </si>
  <si>
    <t>आराध्य राऊत</t>
  </si>
  <si>
    <t>aaradhya Raut</t>
  </si>
  <si>
    <t xml:space="preserve">अंश राऊत </t>
  </si>
  <si>
    <t xml:space="preserve">उत्कर्ष राऊत </t>
  </si>
  <si>
    <t>जित चौधरी</t>
  </si>
  <si>
    <t xml:space="preserve">सानवी तांडेल </t>
  </si>
  <si>
    <t xml:space="preserve">उत्कर्ष धनु </t>
  </si>
  <si>
    <t>खुशी मेहेर</t>
  </si>
  <si>
    <t>भावर्थ नाईक</t>
  </si>
  <si>
    <t xml:space="preserve">जयस्तू चौधरी </t>
  </si>
  <si>
    <t xml:space="preserve">विहान तांडेल </t>
  </si>
  <si>
    <t xml:space="preserve">हास्य मेहेर </t>
  </si>
  <si>
    <t xml:space="preserve">विवान पागधरे </t>
  </si>
  <si>
    <t xml:space="preserve">क्रियान </t>
  </si>
  <si>
    <t>तनिष राऊत</t>
  </si>
  <si>
    <t>ग्रंथा नाईक</t>
  </si>
  <si>
    <t>अक्ष चौधरी</t>
  </si>
  <si>
    <t xml:space="preserve">वेदांत पाटील </t>
  </si>
  <si>
    <t>व्रिहा चौधरी</t>
  </si>
  <si>
    <t>श्रीशा चौधरी</t>
  </si>
  <si>
    <t xml:space="preserve">तुषार नाईक </t>
  </si>
  <si>
    <t>जिवेश मेहेर</t>
  </si>
  <si>
    <t>दक्ष पाटील</t>
  </si>
  <si>
    <t xml:space="preserve">रोहित तांडेल </t>
  </si>
  <si>
    <t>मंथ केनी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</si>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</sst>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4.0"/>
    <col customWidth="1" min="4" max="4" width="12.0"/>
    <col customWidth="1" min="5" max="5" width="14.0"/>
    <col customWidth="1" min="6" max="7" width="17.0"/>
    <col customWidth="1" min="8" max="8" width="19.86"/>
    <col customWidth="1" min="9" max="26" width="8.71"/>
  </cols>
  <sheetData>
    <row r="1">
      <c r="A1" s="1" t="s">
        <v>0</v>
      </c>
      <c r="B1" s="3" t="s">
        <v>6</v>
      </c>
      <c r="C1" s="1" t="s">
        <v>7</v>
      </c>
      <c r="D1" s="1" t="s">
        <v>8</v>
      </c>
      <c r="E1" s="1" t="s">
        <v>1</v>
      </c>
      <c r="F1" s="1" t="s">
        <v>9</v>
      </c>
      <c r="G1" s="1" t="s">
        <v>10</v>
      </c>
      <c r="H1" s="5" t="s">
        <v>11</v>
      </c>
    </row>
    <row r="2">
      <c r="A2" s="4">
        <v>44.0</v>
      </c>
      <c r="B2" s="4">
        <f t="array" ref="B2:B1007">IF(A2:A1007="", "", COUNTIFS(A2:A1007, A2:A1007, ROW(A2:A1007), "&lt;="&amp;ROW(A2:A1007)))</f>
        <v>1</v>
      </c>
      <c r="C2" s="6" t="s">
        <v>14</v>
      </c>
      <c r="D2" s="4">
        <v>200.0</v>
      </c>
      <c r="E2" s="4" t="s">
        <v>4</v>
      </c>
      <c r="F2" s="4">
        <f t="shared" ref="F2:F27" si="1">IF(E2="Cash", D2, 0)</f>
        <v>200</v>
      </c>
      <c r="G2" s="4">
        <f t="shared" ref="G2:G27" si="2">IF(E2="GPay", D2, 0)</f>
        <v>0</v>
      </c>
      <c r="H2" s="4" t="str">
        <f>IFERROR(__xludf.DUMMYFUNCTION("IF(C2="""","""", GOOGLETRANSLATE(C2, ""auto"", ""en""))"),"Rahul Raut")</f>
        <v>Rahul Raut</v>
      </c>
    </row>
    <row r="3">
      <c r="A3" s="4">
        <v>44.0</v>
      </c>
      <c r="B3" s="4">
        <v>2.0</v>
      </c>
      <c r="C3" s="6" t="s">
        <v>15</v>
      </c>
      <c r="D3" s="6">
        <v>0.0</v>
      </c>
      <c r="E3" s="4"/>
      <c r="F3" s="4">
        <f t="shared" si="1"/>
        <v>0</v>
      </c>
      <c r="G3" s="4">
        <f t="shared" si="2"/>
        <v>0</v>
      </c>
      <c r="H3" s="4" t="str">
        <f>IFERROR(__xludf.DUMMYFUNCTION("IF(C3="""","""", GOOGLETRANSLATE(C3, ""auto"", ""en""))"),"Vedanta Tandel ")</f>
        <v>Vedanta Tandel </v>
      </c>
    </row>
    <row r="4">
      <c r="A4" s="7">
        <v>44.0</v>
      </c>
      <c r="B4" s="7">
        <v>3.0</v>
      </c>
      <c r="C4" s="7" t="s">
        <v>16</v>
      </c>
      <c r="D4" s="7">
        <v>350.0</v>
      </c>
      <c r="E4" s="8" t="s">
        <v>5</v>
      </c>
      <c r="F4" s="7">
        <f t="shared" si="1"/>
        <v>0</v>
      </c>
      <c r="G4" s="7">
        <f t="shared" si="2"/>
        <v>350</v>
      </c>
      <c r="H4" s="4" t="str">
        <f>IFERROR(__xludf.DUMMYFUNCTION("IF(C4="""","""", GOOGLETRANSLATE(C4, ""auto"", ""en""))"),"Rahul Naik")</f>
        <v>Rahul Naik</v>
      </c>
    </row>
    <row r="5">
      <c r="A5" s="7">
        <v>44.0</v>
      </c>
      <c r="B5" s="7">
        <v>4.0</v>
      </c>
      <c r="C5" s="8" t="s">
        <v>17</v>
      </c>
      <c r="D5" s="8">
        <v>350.0</v>
      </c>
      <c r="E5" s="8" t="s">
        <v>5</v>
      </c>
      <c r="F5" s="7">
        <f t="shared" si="1"/>
        <v>0</v>
      </c>
      <c r="G5" s="7">
        <f t="shared" si="2"/>
        <v>350</v>
      </c>
      <c r="H5" s="4" t="str">
        <f>IFERROR(__xludf.DUMMYFUNCTION("IF(C5="""","""", GOOGLETRANSLATE(C5, ""auto"", ""en""))"),"Bhavnesh Meher")</f>
        <v>Bhavnesh Meher</v>
      </c>
    </row>
    <row r="6">
      <c r="A6" s="7">
        <v>44.0</v>
      </c>
      <c r="B6" s="7">
        <v>5.0</v>
      </c>
      <c r="C6" s="8" t="s">
        <v>17</v>
      </c>
      <c r="D6" s="8">
        <v>350.0</v>
      </c>
      <c r="E6" s="8" t="s">
        <v>5</v>
      </c>
      <c r="F6" s="7">
        <f t="shared" si="1"/>
        <v>0</v>
      </c>
      <c r="G6" s="7">
        <f t="shared" si="2"/>
        <v>350</v>
      </c>
      <c r="H6" s="4" t="str">
        <f>IFERROR(__xludf.DUMMYFUNCTION("IF(C6="""","""", GOOGLETRANSLATE(C6, ""auto"", ""en""))"),"Bhavnesh Meher")</f>
        <v>Bhavnesh Meher</v>
      </c>
    </row>
    <row r="7">
      <c r="A7" s="6">
        <v>46.0</v>
      </c>
      <c r="B7" s="4">
        <v>1.0</v>
      </c>
      <c r="C7" s="4" t="s">
        <v>18</v>
      </c>
      <c r="D7" s="4">
        <v>350.0</v>
      </c>
      <c r="E7" s="4" t="s">
        <v>4</v>
      </c>
      <c r="F7" s="4">
        <f t="shared" si="1"/>
        <v>350</v>
      </c>
      <c r="G7" s="4">
        <f t="shared" si="2"/>
        <v>0</v>
      </c>
      <c r="H7" s="4" t="str">
        <f>IFERROR(__xludf.DUMMYFUNCTION("IF(C7="""","""", GOOGLETRANSLATE(C7, ""auto"", ""en""))"),"Manish Meher")</f>
        <v>Manish Meher</v>
      </c>
    </row>
    <row r="8">
      <c r="A8" s="7">
        <v>42.0</v>
      </c>
      <c r="B8" s="7">
        <v>1.0</v>
      </c>
      <c r="C8" s="8" t="s">
        <v>19</v>
      </c>
      <c r="D8" s="7">
        <v>350.0</v>
      </c>
      <c r="E8" s="7" t="s">
        <v>5</v>
      </c>
      <c r="F8" s="7">
        <f t="shared" si="1"/>
        <v>0</v>
      </c>
      <c r="G8" s="7">
        <f t="shared" si="2"/>
        <v>350</v>
      </c>
      <c r="H8" s="4" t="str">
        <f>IFERROR(__xludf.DUMMYFUNCTION("IF(C8="""","""", GOOGLETRANSLATE(C8, ""auto"", ""en""))"),"Sunil Chaudhary")</f>
        <v>Sunil Chaudhary</v>
      </c>
    </row>
    <row r="9">
      <c r="A9" s="4">
        <v>42.0</v>
      </c>
      <c r="B9" s="4">
        <v>2.0</v>
      </c>
      <c r="C9" s="6" t="s">
        <v>20</v>
      </c>
      <c r="D9" s="4">
        <v>0.0</v>
      </c>
      <c r="E9" s="4"/>
      <c r="F9" s="4">
        <f t="shared" si="1"/>
        <v>0</v>
      </c>
      <c r="G9" s="4">
        <f t="shared" si="2"/>
        <v>0</v>
      </c>
      <c r="H9" s="4" t="str">
        <f>IFERROR(__xludf.DUMMYFUNCTION("IF(C9="""","""", GOOGLETRANSLATE(C9, ""auto"", ""en""))"),"Janmesh Tandel")</f>
        <v>Janmesh Tandel</v>
      </c>
    </row>
    <row r="10">
      <c r="A10" s="4">
        <v>42.0</v>
      </c>
      <c r="B10" s="4">
        <v>3.0</v>
      </c>
      <c r="C10" s="6" t="s">
        <v>21</v>
      </c>
      <c r="D10" s="4">
        <v>200.0</v>
      </c>
      <c r="E10" s="4" t="s">
        <v>4</v>
      </c>
      <c r="F10" s="4">
        <f t="shared" si="1"/>
        <v>200</v>
      </c>
      <c r="G10" s="4">
        <f t="shared" si="2"/>
        <v>0</v>
      </c>
      <c r="H10" s="4" t="str">
        <f>IFERROR(__xludf.DUMMYFUNCTION("IF(C10="""","""", GOOGLETRANSLATE(C10, ""auto"", ""en""))"),"Rohan Tare")</f>
        <v>Rohan Tare</v>
      </c>
    </row>
    <row r="11">
      <c r="A11" s="4">
        <v>42.0</v>
      </c>
      <c r="B11" s="4">
        <v>4.0</v>
      </c>
      <c r="C11" s="6" t="s">
        <v>22</v>
      </c>
      <c r="D11" s="4">
        <v>200.0</v>
      </c>
      <c r="E11" s="6" t="s">
        <v>23</v>
      </c>
      <c r="F11" s="4">
        <f t="shared" si="1"/>
        <v>0</v>
      </c>
      <c r="G11" s="4">
        <f t="shared" si="2"/>
        <v>0</v>
      </c>
      <c r="H11" s="4" t="str">
        <f>IFERROR(__xludf.DUMMYFUNCTION("IF(C11="""","""", GOOGLETRANSLATE(C11, ""auto"", ""en""))"),"Ajay Dadode")</f>
        <v>Ajay Dadode</v>
      </c>
    </row>
    <row r="12">
      <c r="A12" s="7">
        <v>42.0</v>
      </c>
      <c r="B12" s="7">
        <v>5.0</v>
      </c>
      <c r="C12" s="7" t="s">
        <v>24</v>
      </c>
      <c r="D12" s="7">
        <v>200.0</v>
      </c>
      <c r="E12" s="7" t="s">
        <v>5</v>
      </c>
      <c r="F12" s="7">
        <f t="shared" si="1"/>
        <v>0</v>
      </c>
      <c r="G12" s="7">
        <f t="shared" si="2"/>
        <v>200</v>
      </c>
      <c r="H12" s="4" t="str">
        <f>IFERROR(__xludf.DUMMYFUNCTION("IF(C12="""","""", GOOGLETRANSLATE(C12, ""auto"", ""en""))"),"Nilesh Meher")</f>
        <v>Nilesh Meher</v>
      </c>
    </row>
    <row r="13">
      <c r="A13" s="7">
        <v>42.0</v>
      </c>
      <c r="B13" s="7">
        <v>6.0</v>
      </c>
      <c r="C13" s="8" t="s">
        <v>25</v>
      </c>
      <c r="D13" s="8">
        <v>350.0</v>
      </c>
      <c r="E13" s="7" t="s">
        <v>5</v>
      </c>
      <c r="F13" s="7">
        <f t="shared" si="1"/>
        <v>0</v>
      </c>
      <c r="G13" s="7">
        <f t="shared" si="2"/>
        <v>350</v>
      </c>
      <c r="H13" s="4" t="str">
        <f>IFERROR(__xludf.DUMMYFUNCTION("IF(C13="""","""", GOOGLETRANSLATE(C13, ""auto"", ""en""))"),"Atul Tandel")</f>
        <v>Atul Tandel</v>
      </c>
    </row>
    <row r="14">
      <c r="A14" s="6">
        <v>42.0</v>
      </c>
      <c r="B14" s="4">
        <v>7.0</v>
      </c>
      <c r="C14" s="6" t="s">
        <v>26</v>
      </c>
      <c r="E14" s="4"/>
      <c r="F14" s="4">
        <f t="shared" si="1"/>
        <v>0</v>
      </c>
      <c r="G14" s="4">
        <f t="shared" si="2"/>
        <v>0</v>
      </c>
      <c r="H14" s="4" t="str">
        <f>IFERROR(__xludf.DUMMYFUNCTION("IF(C14="""","""", GOOGLETRANSLATE(C14, ""auto"", ""en""))"),"Vinu Keni")</f>
        <v>Vinu Keni</v>
      </c>
    </row>
    <row r="15">
      <c r="A15" s="7">
        <v>42.0</v>
      </c>
      <c r="B15" s="7">
        <v>8.0</v>
      </c>
      <c r="C15" s="8" t="s">
        <v>27</v>
      </c>
      <c r="D15" s="7">
        <v>200.0</v>
      </c>
      <c r="E15" s="7" t="s">
        <v>5</v>
      </c>
      <c r="F15" s="7">
        <f t="shared" si="1"/>
        <v>0</v>
      </c>
      <c r="G15" s="7">
        <f t="shared" si="2"/>
        <v>200</v>
      </c>
      <c r="H15" s="4" t="str">
        <f>IFERROR(__xludf.DUMMYFUNCTION("IF(C15="""","""", GOOGLETRANSLATE(C15, ""auto"", ""en""))"),"Amol Raut")</f>
        <v>Amol Raut</v>
      </c>
    </row>
    <row r="16">
      <c r="A16" s="7">
        <v>42.0</v>
      </c>
      <c r="B16" s="7">
        <v>9.0</v>
      </c>
      <c r="C16" s="8" t="s">
        <v>28</v>
      </c>
      <c r="D16" s="7">
        <v>200.0</v>
      </c>
      <c r="E16" s="8" t="s">
        <v>5</v>
      </c>
      <c r="F16" s="7">
        <f t="shared" si="1"/>
        <v>0</v>
      </c>
      <c r="G16" s="7">
        <f t="shared" si="2"/>
        <v>200</v>
      </c>
      <c r="H16" s="4" t="str">
        <f>IFERROR(__xludf.DUMMYFUNCTION("IF(C16="""","""", GOOGLETRANSLATE(C16, ""auto"", ""en""))"),"Jignesh Chaudhary")</f>
        <v>Jignesh Chaudhary</v>
      </c>
    </row>
    <row r="17">
      <c r="A17" s="4">
        <v>42.0</v>
      </c>
      <c r="B17" s="4">
        <v>10.0</v>
      </c>
      <c r="C17" s="4" t="s">
        <v>29</v>
      </c>
      <c r="D17" s="6">
        <v>350.0</v>
      </c>
      <c r="E17" s="4"/>
      <c r="F17" s="4">
        <f t="shared" si="1"/>
        <v>0</v>
      </c>
      <c r="G17" s="4">
        <f t="shared" si="2"/>
        <v>0</v>
      </c>
      <c r="H17" s="4" t="str">
        <f>IFERROR(__xludf.DUMMYFUNCTION("IF(C17="""","""", GOOGLETRANSLATE(C17, ""auto"", ""en""))"),"Nikhil Meher")</f>
        <v>Nikhil Meher</v>
      </c>
    </row>
    <row r="18">
      <c r="A18" s="4">
        <v>42.0</v>
      </c>
      <c r="B18" s="4">
        <v>11.0</v>
      </c>
      <c r="C18" s="4" t="s">
        <v>30</v>
      </c>
      <c r="D18" s="4">
        <v>0.0</v>
      </c>
      <c r="E18" s="4"/>
      <c r="F18" s="4">
        <f t="shared" si="1"/>
        <v>0</v>
      </c>
      <c r="G18" s="4">
        <f t="shared" si="2"/>
        <v>0</v>
      </c>
      <c r="H18" s="4" t="str">
        <f>IFERROR(__xludf.DUMMYFUNCTION("IF(C18="""","""", GOOGLETRANSLATE(C18, ""auto"", ""en""))"),"God")</f>
        <v>God</v>
      </c>
    </row>
    <row r="19">
      <c r="A19" s="7">
        <v>42.0</v>
      </c>
      <c r="B19" s="7">
        <v>12.0</v>
      </c>
      <c r="C19" s="8" t="s">
        <v>31</v>
      </c>
      <c r="D19" s="8">
        <v>200.0</v>
      </c>
      <c r="E19" s="7" t="s">
        <v>5</v>
      </c>
      <c r="F19" s="7">
        <f t="shared" si="1"/>
        <v>0</v>
      </c>
      <c r="G19" s="7">
        <f t="shared" si="2"/>
        <v>200</v>
      </c>
      <c r="H19" s="4" t="str">
        <f>IFERROR(__xludf.DUMMYFUNCTION("IF(C19="""","""", GOOGLETRANSLATE(C19, ""auto"", ""en""))"),"Atul Tandel")</f>
        <v>Atul Tandel</v>
      </c>
    </row>
    <row r="20">
      <c r="A20" s="4">
        <v>42.0</v>
      </c>
      <c r="B20" s="4">
        <v>13.0</v>
      </c>
      <c r="C20" s="6" t="s">
        <v>32</v>
      </c>
      <c r="D20" s="4">
        <v>200.0</v>
      </c>
      <c r="E20" s="4" t="s">
        <v>4</v>
      </c>
      <c r="F20" s="4">
        <f t="shared" si="1"/>
        <v>200</v>
      </c>
      <c r="G20" s="4">
        <f t="shared" si="2"/>
        <v>0</v>
      </c>
      <c r="H20" s="4" t="str">
        <f>IFERROR(__xludf.DUMMYFUNCTION("IF(C20="""","""", GOOGLETRANSLATE(C20, ""auto"", ""en""))"),"Yogesh Sagittarius ")</f>
        <v>Yogesh Sagittarius </v>
      </c>
    </row>
    <row r="21">
      <c r="A21" s="4">
        <v>42.0</v>
      </c>
      <c r="B21" s="4">
        <v>14.0</v>
      </c>
      <c r="C21" s="6" t="s">
        <v>33</v>
      </c>
      <c r="D21" s="4">
        <v>0.0</v>
      </c>
      <c r="E21" s="4"/>
      <c r="F21" s="4">
        <f t="shared" si="1"/>
        <v>0</v>
      </c>
      <c r="G21" s="4">
        <f t="shared" si="2"/>
        <v>0</v>
      </c>
      <c r="H21" s="4" t="str">
        <f>IFERROR(__xludf.DUMMYFUNCTION("IF(C21="""","""", GOOGLETRANSLATE(C21, ""auto"", ""en""))"),"Ocean drowning")</f>
        <v>Ocean drowning</v>
      </c>
    </row>
    <row r="22" ht="15.75" customHeight="1">
      <c r="A22" s="7">
        <v>42.0</v>
      </c>
      <c r="B22" s="7">
        <v>15.0</v>
      </c>
      <c r="C22" s="7" t="s">
        <v>34</v>
      </c>
      <c r="D22" s="7">
        <v>350.0</v>
      </c>
      <c r="E22" s="7" t="s">
        <v>5</v>
      </c>
      <c r="F22" s="7">
        <f t="shared" si="1"/>
        <v>0</v>
      </c>
      <c r="G22" s="7">
        <f t="shared" si="2"/>
        <v>350</v>
      </c>
      <c r="H22" s="4" t="str">
        <f>IFERROR(__xludf.DUMMYFUNCTION("IF(C22="""","""", GOOGLETRANSLATE(C22, ""auto"", ""en""))"),"System Patil")</f>
        <v>System Patil</v>
      </c>
    </row>
    <row r="23" ht="15.75" customHeight="1">
      <c r="A23" s="4">
        <v>42.0</v>
      </c>
      <c r="B23" s="4">
        <v>16.0</v>
      </c>
      <c r="C23" s="6" t="s">
        <v>35</v>
      </c>
      <c r="D23" s="4">
        <v>200.0</v>
      </c>
      <c r="E23" s="4" t="s">
        <v>4</v>
      </c>
      <c r="F23" s="4">
        <f t="shared" si="1"/>
        <v>200</v>
      </c>
      <c r="G23" s="4">
        <f t="shared" si="2"/>
        <v>0</v>
      </c>
      <c r="H23" s="4" t="str">
        <f>IFERROR(__xludf.DUMMYFUNCTION("IF(C23="""","""", GOOGLETRANSLATE(C23, ""auto"", ""en""))"),"Trinal Tare")</f>
        <v>Trinal Tare</v>
      </c>
    </row>
    <row r="24" ht="15.75" customHeight="1">
      <c r="A24" s="7">
        <v>42.0</v>
      </c>
      <c r="B24" s="7">
        <v>17.0</v>
      </c>
      <c r="C24" s="7" t="s">
        <v>36</v>
      </c>
      <c r="D24" s="7">
        <v>200.0</v>
      </c>
      <c r="E24" s="7" t="s">
        <v>5</v>
      </c>
      <c r="F24" s="7">
        <f t="shared" si="1"/>
        <v>0</v>
      </c>
      <c r="G24" s="7">
        <f t="shared" si="2"/>
        <v>200</v>
      </c>
      <c r="H24" s="4" t="str">
        <f>IFERROR(__xludf.DUMMYFUNCTION("IF(C24="""","""", GOOGLETRANSLATE(C24, ""auto"", ""en""))"),"Akshay Chaudhary")</f>
        <v>Akshay Chaudhary</v>
      </c>
    </row>
    <row r="25" ht="15.75" customHeight="1">
      <c r="A25" s="7">
        <v>42.0</v>
      </c>
      <c r="B25" s="7">
        <v>18.0</v>
      </c>
      <c r="C25" s="8" t="s">
        <v>37</v>
      </c>
      <c r="D25" s="7">
        <v>350.0</v>
      </c>
      <c r="E25" s="7" t="s">
        <v>5</v>
      </c>
      <c r="F25" s="7">
        <f t="shared" si="1"/>
        <v>0</v>
      </c>
      <c r="G25" s="7">
        <f t="shared" si="2"/>
        <v>350</v>
      </c>
      <c r="H25" s="4" t="str">
        <f>IFERROR(__xludf.DUMMYFUNCTION("IF(C25="""","""", GOOGLETRANSLATE(C25, ""auto"", ""en""))"),"Worthy of praise")</f>
        <v>Worthy of praise</v>
      </c>
    </row>
    <row r="26" ht="15.75" customHeight="1">
      <c r="A26" s="7">
        <v>42.0</v>
      </c>
      <c r="B26" s="7">
        <v>19.0</v>
      </c>
      <c r="C26" s="8" t="s">
        <v>17</v>
      </c>
      <c r="D26" s="7">
        <v>350.0</v>
      </c>
      <c r="E26" s="8" t="s">
        <v>5</v>
      </c>
      <c r="F26" s="7">
        <f t="shared" si="1"/>
        <v>0</v>
      </c>
      <c r="G26" s="7">
        <f t="shared" si="2"/>
        <v>350</v>
      </c>
      <c r="H26" s="4" t="str">
        <f>IFERROR(__xludf.DUMMYFUNCTION("IF(C26="""","""", GOOGLETRANSLATE(C26, ""auto"", ""en""))"),"Bhavnesh Meher")</f>
        <v>Bhavnesh Meher</v>
      </c>
    </row>
    <row r="27" ht="15.75" customHeight="1">
      <c r="A27" s="8">
        <v>42.0</v>
      </c>
      <c r="B27" s="7">
        <v>20.0</v>
      </c>
      <c r="C27" s="8" t="s">
        <v>38</v>
      </c>
      <c r="D27" s="8">
        <v>250.0</v>
      </c>
      <c r="E27" s="8" t="s">
        <v>5</v>
      </c>
      <c r="F27" s="7">
        <f t="shared" si="1"/>
        <v>0</v>
      </c>
      <c r="G27" s="7">
        <f t="shared" si="2"/>
        <v>250</v>
      </c>
      <c r="H27" s="4" t="str">
        <f>IFERROR(__xludf.DUMMYFUNCTION("IF(C27="""","""", GOOGLETRANSLATE(C27, ""auto"", ""en""))"),"Vaibhav Raut")</f>
        <v>Vaibhav Raut</v>
      </c>
    </row>
    <row r="28" ht="15.75" customHeight="1">
      <c r="A28" s="6">
        <v>42.0</v>
      </c>
      <c r="B28" s="4">
        <v>21.0</v>
      </c>
      <c r="C28" s="6" t="s">
        <v>39</v>
      </c>
      <c r="D28" s="6">
        <v>200.0</v>
      </c>
      <c r="E28" s="6" t="s">
        <v>4</v>
      </c>
      <c r="F28" s="6">
        <v>200.0</v>
      </c>
    </row>
    <row r="29" ht="15.75" customHeight="1">
      <c r="A29" s="6">
        <v>42.0</v>
      </c>
      <c r="B29" s="4">
        <v>22.0</v>
      </c>
      <c r="C29" s="6" t="s">
        <v>40</v>
      </c>
      <c r="E29" s="4"/>
      <c r="F29" s="4">
        <f t="shared" ref="F29:F106" si="3">IF(E29="Cash", D29, 0)</f>
        <v>0</v>
      </c>
      <c r="G29" s="4">
        <f t="shared" ref="G29:G106" si="4">IF(E29="GPay", D29, 0)</f>
        <v>0</v>
      </c>
      <c r="H29" s="4" t="str">
        <f>IFERROR(__xludf.DUMMYFUNCTION("IF(C29="""","""", GOOGLETRANSLATE(C29, ""auto"", ""en""))"),"Harshit Tandel")</f>
        <v>Harshit Tandel</v>
      </c>
    </row>
    <row r="30" ht="15.75" customHeight="1">
      <c r="A30" s="7">
        <v>40.0</v>
      </c>
      <c r="B30" s="7">
        <v>1.0</v>
      </c>
      <c r="C30" s="8" t="s">
        <v>41</v>
      </c>
      <c r="D30" s="7">
        <v>200.0</v>
      </c>
      <c r="E30" s="7" t="s">
        <v>5</v>
      </c>
      <c r="F30" s="7">
        <f t="shared" si="3"/>
        <v>0</v>
      </c>
      <c r="G30" s="7">
        <f t="shared" si="4"/>
        <v>200</v>
      </c>
      <c r="H30" s="4" t="str">
        <f>IFERROR(__xludf.DUMMYFUNCTION("IF(C30="""","""", GOOGLETRANSLATE(C30, ""auto"", ""en""))"),"ॐ Dhanmehar ")</f>
        <v>ॐ Dhanmehar </v>
      </c>
    </row>
    <row r="31" ht="15.75" customHeight="1">
      <c r="A31" s="4">
        <v>40.0</v>
      </c>
      <c r="B31" s="4">
        <v>2.0</v>
      </c>
      <c r="C31" s="6" t="s">
        <v>42</v>
      </c>
      <c r="D31" s="4">
        <v>350.0</v>
      </c>
      <c r="E31" s="4" t="s">
        <v>4</v>
      </c>
      <c r="F31" s="4">
        <f t="shared" si="3"/>
        <v>350</v>
      </c>
      <c r="G31" s="4">
        <f t="shared" si="4"/>
        <v>0</v>
      </c>
      <c r="H31" s="4" t="str">
        <f>IFERROR(__xludf.DUMMYFUNCTION("IF(C31="""","""", GOOGLETRANSLATE(C31, ""auto"", ""en""))"),"Direction Tandel ")</f>
        <v>Direction Tandel </v>
      </c>
    </row>
    <row r="32" ht="15.75" customHeight="1">
      <c r="A32" s="7">
        <v>40.0</v>
      </c>
      <c r="B32" s="7">
        <v>3.0</v>
      </c>
      <c r="C32" s="8" t="s">
        <v>43</v>
      </c>
      <c r="D32" s="7">
        <v>200.0</v>
      </c>
      <c r="E32" s="7" t="s">
        <v>5</v>
      </c>
      <c r="F32" s="7">
        <f t="shared" si="3"/>
        <v>0</v>
      </c>
      <c r="G32" s="7">
        <f t="shared" si="4"/>
        <v>200</v>
      </c>
      <c r="H32" s="4" t="str">
        <f>IFERROR(__xludf.DUMMYFUNCTION("IF(C32="""","""", GOOGLETRANSLATE(C32, ""auto"", ""en""))"),"Janmesh Raut")</f>
        <v>Janmesh Raut</v>
      </c>
    </row>
    <row r="33" ht="15.75" customHeight="1">
      <c r="A33" s="7">
        <v>40.0</v>
      </c>
      <c r="B33" s="7">
        <v>4.0</v>
      </c>
      <c r="C33" s="8" t="s">
        <v>43</v>
      </c>
      <c r="D33" s="7">
        <v>200.0</v>
      </c>
      <c r="E33" s="7" t="s">
        <v>5</v>
      </c>
      <c r="F33" s="7">
        <f t="shared" si="3"/>
        <v>0</v>
      </c>
      <c r="G33" s="7">
        <f t="shared" si="4"/>
        <v>200</v>
      </c>
      <c r="H33" s="4" t="str">
        <f>IFERROR(__xludf.DUMMYFUNCTION("IF(C33="""","""", GOOGLETRANSLATE(C33, ""auto"", ""en""))"),"Janmesh Raut")</f>
        <v>Janmesh Raut</v>
      </c>
    </row>
    <row r="34" ht="15.75" customHeight="1">
      <c r="A34" s="4">
        <v>40.0</v>
      </c>
      <c r="B34" s="4">
        <v>5.0</v>
      </c>
      <c r="C34" s="4" t="s">
        <v>44</v>
      </c>
      <c r="D34" s="4">
        <v>0.0</v>
      </c>
      <c r="E34" s="4"/>
      <c r="F34" s="4">
        <f t="shared" si="3"/>
        <v>0</v>
      </c>
      <c r="G34" s="4">
        <f t="shared" si="4"/>
        <v>0</v>
      </c>
      <c r="H34" s="4" t="str">
        <f>IFERROR(__xludf.DUMMYFUNCTION("IF(C34="""","""", GOOGLETRANSLATE(C34, ""auto"", ""en""))"),"Rohan Chowdhary")</f>
        <v>Rohan Chowdhary</v>
      </c>
    </row>
    <row r="35" ht="15.75" customHeight="1">
      <c r="A35" s="7">
        <v>40.0</v>
      </c>
      <c r="B35" s="7">
        <v>6.0</v>
      </c>
      <c r="C35" s="8" t="s">
        <v>45</v>
      </c>
      <c r="D35" s="7">
        <v>350.0</v>
      </c>
      <c r="E35" s="7" t="s">
        <v>5</v>
      </c>
      <c r="F35" s="7">
        <f t="shared" si="3"/>
        <v>0</v>
      </c>
      <c r="G35" s="7">
        <f t="shared" si="4"/>
        <v>350</v>
      </c>
      <c r="H35" s="4" t="str">
        <f>IFERROR(__xludf.DUMMYFUNCTION("IF(C35="""","""", GOOGLETRANSLATE(C35, ""auto"", ""en""))"),"Niket Choudhary")</f>
        <v>Niket Choudhary</v>
      </c>
    </row>
    <row r="36" ht="15.75" customHeight="1">
      <c r="A36" s="7">
        <v>40.0</v>
      </c>
      <c r="B36" s="7">
        <v>7.0</v>
      </c>
      <c r="C36" s="8" t="s">
        <v>45</v>
      </c>
      <c r="D36" s="7">
        <v>350.0</v>
      </c>
      <c r="E36" s="7" t="s">
        <v>5</v>
      </c>
      <c r="F36" s="7">
        <f t="shared" si="3"/>
        <v>0</v>
      </c>
      <c r="G36" s="7">
        <f t="shared" si="4"/>
        <v>350</v>
      </c>
      <c r="H36" s="4" t="str">
        <f>IFERROR(__xludf.DUMMYFUNCTION("IF(C36="""","""", GOOGLETRANSLATE(C36, ""auto"", ""en""))"),"Niket Choudhary")</f>
        <v>Niket Choudhary</v>
      </c>
    </row>
    <row r="37" ht="15.75" customHeight="1">
      <c r="A37" s="4">
        <v>40.0</v>
      </c>
      <c r="B37" s="4">
        <v>8.0</v>
      </c>
      <c r="C37" s="6" t="s">
        <v>46</v>
      </c>
      <c r="D37" s="4">
        <v>200.0</v>
      </c>
      <c r="E37" s="4" t="s">
        <v>4</v>
      </c>
      <c r="F37" s="4">
        <f t="shared" si="3"/>
        <v>200</v>
      </c>
      <c r="G37" s="4">
        <f t="shared" si="4"/>
        <v>0</v>
      </c>
      <c r="H37" s="4" t="str">
        <f>IFERROR(__xludf.DUMMYFUNCTION("IF(C37="""","""", GOOGLETRANSLATE(C37, ""auto"", ""en""))"),"conscious stars")</f>
        <v>conscious stars</v>
      </c>
    </row>
    <row r="38" ht="15.75" customHeight="1">
      <c r="A38" s="4">
        <v>40.0</v>
      </c>
      <c r="B38" s="4">
        <v>9.0</v>
      </c>
      <c r="C38" s="4" t="s">
        <v>47</v>
      </c>
      <c r="D38" s="4">
        <v>200.0</v>
      </c>
      <c r="E38" s="4" t="s">
        <v>4</v>
      </c>
      <c r="F38" s="4">
        <f t="shared" si="3"/>
        <v>200</v>
      </c>
      <c r="G38" s="4">
        <f t="shared" si="4"/>
        <v>0</v>
      </c>
      <c r="H38" s="4" t="str">
        <f>IFERROR(__xludf.DUMMYFUNCTION("IF(C38="""","""", GOOGLETRANSLATE(C38, ""auto"", ""en""))"),"Prafulla Chaudhary")</f>
        <v>Prafulla Chaudhary</v>
      </c>
    </row>
    <row r="39" ht="15.75" customHeight="1">
      <c r="A39" s="7">
        <v>40.0</v>
      </c>
      <c r="B39" s="7">
        <v>10.0</v>
      </c>
      <c r="C39" s="8" t="s">
        <v>48</v>
      </c>
      <c r="D39" s="7">
        <v>350.0</v>
      </c>
      <c r="E39" s="7" t="s">
        <v>5</v>
      </c>
      <c r="F39" s="7">
        <f t="shared" si="3"/>
        <v>0</v>
      </c>
      <c r="G39" s="7">
        <f t="shared" si="4"/>
        <v>350</v>
      </c>
      <c r="H39" s="4" t="str">
        <f>IFERROR(__xludf.DUMMYFUNCTION("IF(C39="""","""", GOOGLETRANSLATE(C39, ""auto"", ""en""))"),"Bhavesh Choudhary")</f>
        <v>Bhavesh Choudhary</v>
      </c>
    </row>
    <row r="40" ht="15.75" customHeight="1">
      <c r="A40" s="4">
        <v>40.0</v>
      </c>
      <c r="B40" s="4">
        <v>11.0</v>
      </c>
      <c r="C40" s="6" t="s">
        <v>49</v>
      </c>
      <c r="D40" s="4">
        <v>200.0</v>
      </c>
      <c r="E40" s="4" t="s">
        <v>4</v>
      </c>
      <c r="F40" s="4">
        <f t="shared" si="3"/>
        <v>200</v>
      </c>
      <c r="G40" s="4">
        <f t="shared" si="4"/>
        <v>0</v>
      </c>
      <c r="H40" s="4" t="str">
        <f>IFERROR(__xludf.DUMMYFUNCTION("IF(C40="""","""", GOOGLETRANSLATE(C40, ""auto"", ""en""))"),"Success story")</f>
        <v>Success story</v>
      </c>
    </row>
    <row r="41" ht="15.75" customHeight="1">
      <c r="A41" s="7">
        <v>40.0</v>
      </c>
      <c r="B41" s="7">
        <v>12.0</v>
      </c>
      <c r="C41" s="7" t="s">
        <v>50</v>
      </c>
      <c r="D41" s="7">
        <v>200.0</v>
      </c>
      <c r="E41" s="7" t="s">
        <v>5</v>
      </c>
      <c r="F41" s="7">
        <f t="shared" si="3"/>
        <v>0</v>
      </c>
      <c r="G41" s="7">
        <f t="shared" si="4"/>
        <v>200</v>
      </c>
      <c r="H41" s="4" t="str">
        <f>IFERROR(__xludf.DUMMYFUNCTION("IF(C41="""","""", GOOGLETRANSLATE(C41, ""auto"", ""en""))"),"Mahesh Choudhary")</f>
        <v>Mahesh Choudhary</v>
      </c>
    </row>
    <row r="42" ht="15.75" customHeight="1">
      <c r="A42" s="7">
        <v>40.0</v>
      </c>
      <c r="B42" s="7">
        <v>13.0</v>
      </c>
      <c r="C42" s="8" t="s">
        <v>51</v>
      </c>
      <c r="D42" s="7">
        <v>200.0</v>
      </c>
      <c r="E42" s="7" t="s">
        <v>5</v>
      </c>
      <c r="F42" s="7">
        <f t="shared" si="3"/>
        <v>0</v>
      </c>
      <c r="G42" s="7">
        <f t="shared" si="4"/>
        <v>200</v>
      </c>
      <c r="H42" s="4" t="str">
        <f>IFERROR(__xludf.DUMMYFUNCTION("IF(C42="""","""", GOOGLETRANSLATE(C42, ""auto"", ""en""))"),"Mangesh Choudhary")</f>
        <v>Mangesh Choudhary</v>
      </c>
    </row>
    <row r="43" ht="15.75" customHeight="1">
      <c r="A43" s="4">
        <v>40.0</v>
      </c>
      <c r="B43" s="4">
        <v>14.0</v>
      </c>
      <c r="C43" s="4" t="s">
        <v>52</v>
      </c>
      <c r="D43" s="4">
        <v>350.0</v>
      </c>
      <c r="E43" s="4" t="s">
        <v>4</v>
      </c>
      <c r="F43" s="4">
        <f t="shared" si="3"/>
        <v>350</v>
      </c>
      <c r="G43" s="4">
        <f t="shared" si="4"/>
        <v>0</v>
      </c>
      <c r="H43" s="4" t="str">
        <f>IFERROR(__xludf.DUMMYFUNCTION("IF(C43="""","""", GOOGLETRANSLATE(C43, ""auto"", ""en""))"),"Chaitanya Naik")</f>
        <v>Chaitanya Naik</v>
      </c>
    </row>
    <row r="44" ht="15.75" customHeight="1">
      <c r="A44" s="4">
        <v>40.0</v>
      </c>
      <c r="B44" s="4">
        <v>15.0</v>
      </c>
      <c r="C44" s="4" t="s">
        <v>29</v>
      </c>
      <c r="D44" s="6">
        <v>350.0</v>
      </c>
      <c r="E44" s="6" t="s">
        <v>4</v>
      </c>
      <c r="F44" s="4">
        <f t="shared" si="3"/>
        <v>350</v>
      </c>
      <c r="G44" s="4">
        <f t="shared" si="4"/>
        <v>0</v>
      </c>
      <c r="H44" s="4" t="str">
        <f>IFERROR(__xludf.DUMMYFUNCTION("IF(C44="""","""", GOOGLETRANSLATE(C44, ""auto"", ""en""))"),"Nikhil Meher")</f>
        <v>Nikhil Meher</v>
      </c>
    </row>
    <row r="45" ht="15.75" customHeight="1">
      <c r="A45" s="4">
        <v>40.0</v>
      </c>
      <c r="B45" s="4">
        <v>16.0</v>
      </c>
      <c r="C45" s="4" t="s">
        <v>29</v>
      </c>
      <c r="D45" s="6">
        <v>350.0</v>
      </c>
      <c r="E45" s="6" t="s">
        <v>4</v>
      </c>
      <c r="F45" s="4">
        <f t="shared" si="3"/>
        <v>350</v>
      </c>
      <c r="G45" s="4">
        <f t="shared" si="4"/>
        <v>0</v>
      </c>
      <c r="H45" s="4" t="str">
        <f>IFERROR(__xludf.DUMMYFUNCTION("IF(C45="""","""", GOOGLETRANSLATE(C45, ""auto"", ""en""))"),"Nikhil Meher")</f>
        <v>Nikhil Meher</v>
      </c>
    </row>
    <row r="46" ht="15.75" customHeight="1">
      <c r="A46" s="4">
        <v>40.0</v>
      </c>
      <c r="B46" s="4">
        <v>17.0</v>
      </c>
      <c r="C46" s="6" t="s">
        <v>53</v>
      </c>
      <c r="D46" s="4">
        <v>350.0</v>
      </c>
      <c r="E46" s="4" t="s">
        <v>4</v>
      </c>
      <c r="F46" s="4">
        <f t="shared" si="3"/>
        <v>350</v>
      </c>
      <c r="G46" s="4">
        <f t="shared" si="4"/>
        <v>0</v>
      </c>
      <c r="H46" s="4" t="str">
        <f>IFERROR(__xludf.DUMMYFUNCTION("IF(C46="""","""", GOOGLETRANSLATE(C46, ""auto"", ""en""))"),"Dhruv Tandel")</f>
        <v>Dhruv Tandel</v>
      </c>
    </row>
    <row r="47" ht="15.75" customHeight="1">
      <c r="A47" s="4">
        <v>40.0</v>
      </c>
      <c r="B47" s="4">
        <v>18.0</v>
      </c>
      <c r="C47" s="6" t="s">
        <v>54</v>
      </c>
      <c r="D47" s="6">
        <v>200.0</v>
      </c>
      <c r="E47" s="4" t="s">
        <v>4</v>
      </c>
      <c r="F47" s="4">
        <f t="shared" si="3"/>
        <v>200</v>
      </c>
      <c r="G47" s="4">
        <f t="shared" si="4"/>
        <v>0</v>
      </c>
      <c r="H47" s="4" t="str">
        <f>IFERROR(__xludf.DUMMYFUNCTION("IF(C47="""","""", GOOGLETRANSLATE(C47, ""auto"", ""en""))"),"Amol Patil.")</f>
        <v>Amol Patil.</v>
      </c>
    </row>
    <row r="48" ht="15.75" customHeight="1">
      <c r="A48" s="4">
        <v>40.0</v>
      </c>
      <c r="B48" s="4">
        <v>19.0</v>
      </c>
      <c r="C48" s="6" t="s">
        <v>55</v>
      </c>
      <c r="D48" s="4">
        <v>200.0</v>
      </c>
      <c r="E48" s="4" t="s">
        <v>4</v>
      </c>
      <c r="F48" s="4">
        <f t="shared" si="3"/>
        <v>200</v>
      </c>
      <c r="G48" s="4">
        <f t="shared" si="4"/>
        <v>0</v>
      </c>
      <c r="H48" s="4" t="str">
        <f>IFERROR(__xludf.DUMMYFUNCTION("IF(C48="""","""", GOOGLETRANSLATE(C48, ""auto"", ""en""))"),"Hearty Tare")</f>
        <v>Hearty Tare</v>
      </c>
    </row>
    <row r="49" ht="15.75" customHeight="1">
      <c r="A49" s="7">
        <v>40.0</v>
      </c>
      <c r="B49" s="7">
        <v>20.0</v>
      </c>
      <c r="C49" s="8" t="s">
        <v>56</v>
      </c>
      <c r="D49" s="7">
        <v>200.0</v>
      </c>
      <c r="E49" s="7" t="s">
        <v>5</v>
      </c>
      <c r="F49" s="7">
        <f t="shared" si="3"/>
        <v>0</v>
      </c>
      <c r="G49" s="7">
        <f t="shared" si="4"/>
        <v>200</v>
      </c>
      <c r="H49" s="4" t="str">
        <f>IFERROR(__xludf.DUMMYFUNCTION("IF(C49="""","""", GOOGLETRANSLATE(C49, ""auto"", ""en""))"),"Bhavesh Meher")</f>
        <v>Bhavesh Meher</v>
      </c>
    </row>
    <row r="50" ht="15.75" customHeight="1">
      <c r="A50" s="7">
        <v>40.0</v>
      </c>
      <c r="B50" s="7">
        <v>21.0</v>
      </c>
      <c r="C50" s="8" t="s">
        <v>57</v>
      </c>
      <c r="D50" s="8">
        <v>200.0</v>
      </c>
      <c r="E50" s="7" t="s">
        <v>5</v>
      </c>
      <c r="F50" s="7">
        <f t="shared" si="3"/>
        <v>0</v>
      </c>
      <c r="G50" s="7">
        <f t="shared" si="4"/>
        <v>200</v>
      </c>
      <c r="H50" s="4" t="str">
        <f>IFERROR(__xludf.DUMMYFUNCTION("IF(C50="""","""", GOOGLETRANSLATE(C50, ""auto"", ""en""))"),"Nitesh Choudhary")</f>
        <v>Nitesh Choudhary</v>
      </c>
    </row>
    <row r="51" ht="15.75" customHeight="1">
      <c r="A51" s="7">
        <v>40.0</v>
      </c>
      <c r="B51" s="7">
        <v>22.0</v>
      </c>
      <c r="C51" s="8" t="s">
        <v>58</v>
      </c>
      <c r="D51" s="7">
        <v>200.0</v>
      </c>
      <c r="E51" s="7" t="s">
        <v>5</v>
      </c>
      <c r="F51" s="7">
        <f t="shared" si="3"/>
        <v>0</v>
      </c>
      <c r="G51" s="7">
        <f t="shared" si="4"/>
        <v>200</v>
      </c>
      <c r="H51" s="4" t="str">
        <f>IFERROR(__xludf.DUMMYFUNCTION("IF(C51="""","""", GOOGLETRANSLATE(C51, ""auto"", ""en""))"),"Kripesh Tandel")</f>
        <v>Kripesh Tandel</v>
      </c>
    </row>
    <row r="52" ht="15.75" customHeight="1">
      <c r="A52" s="4">
        <v>40.0</v>
      </c>
      <c r="B52" s="4">
        <v>23.0</v>
      </c>
      <c r="C52" s="6" t="s">
        <v>59</v>
      </c>
      <c r="D52" s="4">
        <v>200.0</v>
      </c>
      <c r="E52" s="4" t="s">
        <v>4</v>
      </c>
      <c r="F52" s="4">
        <f t="shared" si="3"/>
        <v>200</v>
      </c>
      <c r="G52" s="4">
        <f t="shared" si="4"/>
        <v>0</v>
      </c>
      <c r="H52" s="4" t="str">
        <f>IFERROR(__xludf.DUMMYFUNCTION("IF(C52="""","""", GOOGLETRANSLATE(C52, ""auto"", ""en""))"),"Kuldeep Naik")</f>
        <v>Kuldeep Naik</v>
      </c>
    </row>
    <row r="53" ht="15.75" customHeight="1">
      <c r="A53" s="4">
        <v>40.0</v>
      </c>
      <c r="B53" s="4">
        <v>24.0</v>
      </c>
      <c r="C53" s="6" t="s">
        <v>33</v>
      </c>
      <c r="D53" s="4">
        <v>0.0</v>
      </c>
      <c r="E53" s="4"/>
      <c r="F53" s="4">
        <f t="shared" si="3"/>
        <v>0</v>
      </c>
      <c r="G53" s="4">
        <f t="shared" si="4"/>
        <v>0</v>
      </c>
      <c r="H53" s="4" t="str">
        <f>IFERROR(__xludf.DUMMYFUNCTION("IF(C53="""","""", GOOGLETRANSLATE(C53, ""auto"", ""en""))"),"Ocean drowning")</f>
        <v>Ocean drowning</v>
      </c>
    </row>
    <row r="54" ht="15.75" customHeight="1">
      <c r="A54" s="4">
        <v>40.0</v>
      </c>
      <c r="B54" s="4">
        <v>25.0</v>
      </c>
      <c r="C54" s="6" t="s">
        <v>60</v>
      </c>
      <c r="D54" s="4">
        <v>0.0</v>
      </c>
      <c r="E54" s="4"/>
      <c r="F54" s="4">
        <f t="shared" si="3"/>
        <v>0</v>
      </c>
      <c r="G54" s="4">
        <f t="shared" si="4"/>
        <v>0</v>
      </c>
      <c r="H54" s="4" t="str">
        <f>IFERROR(__xludf.DUMMYFUNCTION("IF(C54="""","""", GOOGLETRANSLATE(C54, ""auto"", ""en""))"),"Harshit Tandel")</f>
        <v>Harshit Tandel</v>
      </c>
    </row>
    <row r="55" ht="15.75" customHeight="1">
      <c r="A55" s="4">
        <v>40.0</v>
      </c>
      <c r="B55" s="4">
        <v>26.0</v>
      </c>
      <c r="C55" s="6" t="s">
        <v>61</v>
      </c>
      <c r="D55" s="4">
        <v>0.0</v>
      </c>
      <c r="E55" s="4"/>
      <c r="F55" s="4">
        <f t="shared" si="3"/>
        <v>0</v>
      </c>
      <c r="G55" s="4">
        <f t="shared" si="4"/>
        <v>0</v>
      </c>
      <c r="H55" s="4" t="str">
        <f>IFERROR(__xludf.DUMMYFUNCTION("IF(C55="""","""", GOOGLETRANSLATE(C55, ""auto"", ""en""))"),"Rakesh Patil")</f>
        <v>Rakesh Patil</v>
      </c>
    </row>
    <row r="56" ht="15.75" customHeight="1">
      <c r="A56" s="7">
        <v>40.0</v>
      </c>
      <c r="B56" s="7">
        <v>27.0</v>
      </c>
      <c r="C56" s="8" t="s">
        <v>62</v>
      </c>
      <c r="D56" s="8">
        <v>200.0</v>
      </c>
      <c r="E56" s="8" t="s">
        <v>5</v>
      </c>
      <c r="F56" s="7">
        <f t="shared" si="3"/>
        <v>0</v>
      </c>
      <c r="G56" s="7">
        <f t="shared" si="4"/>
        <v>200</v>
      </c>
      <c r="H56" s="4" t="str">
        <f>IFERROR(__xludf.DUMMYFUNCTION("IF(C56="""","""", GOOGLETRANSLATE(C56, ""auto"", ""en""))"),"Sanjay Dubhal")</f>
        <v>Sanjay Dubhal</v>
      </c>
    </row>
    <row r="57" ht="15.75" customHeight="1">
      <c r="A57" s="4">
        <v>40.0</v>
      </c>
      <c r="B57" s="4">
        <v>28.0</v>
      </c>
      <c r="C57" s="6" t="s">
        <v>63</v>
      </c>
      <c r="D57" s="4">
        <v>200.0</v>
      </c>
      <c r="E57" s="4" t="s">
        <v>4</v>
      </c>
      <c r="F57" s="4">
        <f t="shared" si="3"/>
        <v>200</v>
      </c>
      <c r="G57" s="4">
        <f t="shared" si="4"/>
        <v>0</v>
      </c>
      <c r="H57" s="4" t="str">
        <f>IFERROR(__xludf.DUMMYFUNCTION("IF(C57="""","""", GOOGLETRANSLATE(C57, ""auto"", ""en""))"),"Pranaya Tandel")</f>
        <v>Pranaya Tandel</v>
      </c>
    </row>
    <row r="58" ht="15.75" customHeight="1">
      <c r="A58" s="4">
        <v>40.0</v>
      </c>
      <c r="B58" s="4">
        <v>29.0</v>
      </c>
      <c r="C58" s="6" t="s">
        <v>64</v>
      </c>
      <c r="D58" s="4">
        <v>0.0</v>
      </c>
      <c r="E58" s="4"/>
      <c r="F58" s="4">
        <f t="shared" si="3"/>
        <v>0</v>
      </c>
      <c r="G58" s="4">
        <f t="shared" si="4"/>
        <v>0</v>
      </c>
      <c r="H58" s="4" t="str">
        <f>IFERROR(__xludf.DUMMYFUNCTION("IF(C58="""","""", GOOGLETRANSLATE(C58, ""auto"", ""en""))"),"Rohit Tandel")</f>
        <v>Rohit Tandel</v>
      </c>
    </row>
    <row r="59" ht="15.75" customHeight="1">
      <c r="A59" s="4">
        <v>40.0</v>
      </c>
      <c r="B59" s="4">
        <v>30.0</v>
      </c>
      <c r="C59" s="6" t="s">
        <v>65</v>
      </c>
      <c r="D59" s="4">
        <v>0.0</v>
      </c>
      <c r="E59" s="4"/>
      <c r="F59" s="4">
        <f t="shared" si="3"/>
        <v>0</v>
      </c>
      <c r="G59" s="4">
        <f t="shared" si="4"/>
        <v>0</v>
      </c>
      <c r="H59" s="4" t="str">
        <f>IFERROR(__xludf.DUMMYFUNCTION("IF(C59="""","""", GOOGLETRANSLATE(C59, ""auto"", ""en""))"),"Shantu Baba")</f>
        <v>Shantu Baba</v>
      </c>
    </row>
    <row r="60" ht="15.75" customHeight="1">
      <c r="A60" s="4">
        <v>40.0</v>
      </c>
      <c r="B60" s="4">
        <v>31.0</v>
      </c>
      <c r="C60" s="6" t="s">
        <v>66</v>
      </c>
      <c r="D60" s="4">
        <v>0.0</v>
      </c>
      <c r="E60" s="4"/>
      <c r="F60" s="4">
        <f t="shared" si="3"/>
        <v>0</v>
      </c>
      <c r="G60" s="4">
        <f t="shared" si="4"/>
        <v>0</v>
      </c>
      <c r="H60" s="4" t="str">
        <f>IFERROR(__xludf.DUMMYFUNCTION("IF(C60="""","""", GOOGLETRANSLATE(C60, ""auto"", ""en""))"),"Vansh Tandel")</f>
        <v>Vansh Tandel</v>
      </c>
    </row>
    <row r="61" ht="15.75" customHeight="1">
      <c r="A61" s="7">
        <v>40.0</v>
      </c>
      <c r="B61" s="7">
        <v>32.0</v>
      </c>
      <c r="C61" s="8" t="s">
        <v>27</v>
      </c>
      <c r="D61" s="8">
        <v>350.0</v>
      </c>
      <c r="E61" s="8" t="s">
        <v>5</v>
      </c>
      <c r="F61" s="7">
        <f t="shared" si="3"/>
        <v>0</v>
      </c>
      <c r="G61" s="7">
        <f t="shared" si="4"/>
        <v>350</v>
      </c>
      <c r="H61" s="4" t="str">
        <f>IFERROR(__xludf.DUMMYFUNCTION("IF(C61="""","""", GOOGLETRANSLATE(C61, ""auto"", ""en""))"),"Amol Raut")</f>
        <v>Amol Raut</v>
      </c>
    </row>
    <row r="62" ht="15.75" customHeight="1">
      <c r="A62" s="4">
        <v>40.0</v>
      </c>
      <c r="B62" s="4">
        <v>33.0</v>
      </c>
      <c r="C62" s="6" t="s">
        <v>67</v>
      </c>
      <c r="D62" s="4">
        <v>0.0</v>
      </c>
      <c r="E62" s="4"/>
      <c r="F62" s="4">
        <f t="shared" si="3"/>
        <v>0</v>
      </c>
      <c r="G62" s="4">
        <f t="shared" si="4"/>
        <v>0</v>
      </c>
      <c r="H62" s="4" t="str">
        <f>IFERROR(__xludf.DUMMYFUNCTION("IF(C62="""","""", GOOGLETRANSLATE(C62, ""auto"", ""en""))"),"Sachin Raut")</f>
        <v>Sachin Raut</v>
      </c>
    </row>
    <row r="63" ht="15.75" customHeight="1">
      <c r="A63" s="4">
        <v>40.0</v>
      </c>
      <c r="B63" s="4">
        <v>34.0</v>
      </c>
      <c r="C63" s="4" t="s">
        <v>68</v>
      </c>
      <c r="D63" s="4">
        <v>0.0</v>
      </c>
      <c r="E63" s="4"/>
      <c r="F63" s="4">
        <f t="shared" si="3"/>
        <v>0</v>
      </c>
      <c r="G63" s="4">
        <f t="shared" si="4"/>
        <v>0</v>
      </c>
      <c r="H63" s="4" t="str">
        <f>IFERROR(__xludf.DUMMYFUNCTION("IF(C63="""","""", GOOGLETRANSLATE(C63, ""auto"", ""en""))"),"Kunal Choudhary")</f>
        <v>Kunal Choudhary</v>
      </c>
    </row>
    <row r="64" ht="15.75" customHeight="1">
      <c r="A64" s="7">
        <v>40.0</v>
      </c>
      <c r="B64" s="7">
        <v>35.0</v>
      </c>
      <c r="C64" s="8" t="s">
        <v>41</v>
      </c>
      <c r="D64" s="7">
        <v>200.0</v>
      </c>
      <c r="E64" s="7" t="s">
        <v>5</v>
      </c>
      <c r="F64" s="7">
        <f t="shared" si="3"/>
        <v>0</v>
      </c>
      <c r="G64" s="7">
        <f t="shared" si="4"/>
        <v>200</v>
      </c>
    </row>
    <row r="65" ht="15.75" customHeight="1">
      <c r="A65" s="7">
        <v>40.0</v>
      </c>
      <c r="B65" s="7">
        <v>36.0</v>
      </c>
      <c r="C65" s="7" t="s">
        <v>69</v>
      </c>
      <c r="D65" s="7">
        <v>350.0</v>
      </c>
      <c r="E65" s="8" t="s">
        <v>5</v>
      </c>
      <c r="F65" s="7">
        <f t="shared" si="3"/>
        <v>0</v>
      </c>
      <c r="G65" s="7">
        <f t="shared" si="4"/>
        <v>350</v>
      </c>
      <c r="H65" s="4" t="str">
        <f>IFERROR(__xludf.DUMMYFUNCTION("IF(C65="""","""", GOOGLETRANSLATE(C65, ""auto"", ""en""))"),"Jayesh Naik")</f>
        <v>Jayesh Naik</v>
      </c>
    </row>
    <row r="66" ht="15.75" customHeight="1">
      <c r="A66" s="7">
        <v>38.0</v>
      </c>
      <c r="B66" s="7">
        <v>1.0</v>
      </c>
      <c r="C66" s="8" t="s">
        <v>70</v>
      </c>
      <c r="D66" s="7">
        <v>350.0</v>
      </c>
      <c r="E66" s="7" t="s">
        <v>5</v>
      </c>
      <c r="F66" s="7">
        <f t="shared" si="3"/>
        <v>0</v>
      </c>
      <c r="G66" s="7">
        <f t="shared" si="4"/>
        <v>350</v>
      </c>
      <c r="H66" s="4" t="str">
        <f>IFERROR(__xludf.DUMMYFUNCTION("IF(C66="""","""", GOOGLETRANSLATE(C66, ""auto"", ""en""))"),"Pritam Chaudhary")</f>
        <v>Pritam Chaudhary</v>
      </c>
    </row>
    <row r="67" ht="15.75" customHeight="1">
      <c r="A67" s="4">
        <v>38.0</v>
      </c>
      <c r="B67" s="4">
        <v>2.0</v>
      </c>
      <c r="C67" s="6" t="s">
        <v>71</v>
      </c>
      <c r="D67" s="6">
        <v>0.0</v>
      </c>
      <c r="E67" s="4"/>
      <c r="F67" s="4">
        <f t="shared" si="3"/>
        <v>0</v>
      </c>
      <c r="G67" s="4">
        <f t="shared" si="4"/>
        <v>0</v>
      </c>
      <c r="H67" s="4" t="str">
        <f>IFERROR(__xludf.DUMMYFUNCTION("IF(C67="""","""", GOOGLETRANSLATE(C67, ""auto"", ""en""))"),"Pratik Choudhary")</f>
        <v>Pratik Choudhary</v>
      </c>
    </row>
    <row r="68" ht="15.75" customHeight="1">
      <c r="A68" s="4">
        <v>38.0</v>
      </c>
      <c r="B68" s="4">
        <v>3.0</v>
      </c>
      <c r="C68" s="6" t="s">
        <v>72</v>
      </c>
      <c r="D68" s="6">
        <v>0.0</v>
      </c>
      <c r="E68" s="6" t="s">
        <v>12</v>
      </c>
      <c r="F68" s="4">
        <f t="shared" si="3"/>
        <v>0</v>
      </c>
      <c r="G68" s="4">
        <f t="shared" si="4"/>
        <v>0</v>
      </c>
      <c r="H68" s="4" t="str">
        <f>IFERROR(__xludf.DUMMYFUNCTION("IF(C68="""","""", GOOGLETRANSLATE(C68, ""auto"", ""en""))"),"Anish Chaudhary")</f>
        <v>Anish Chaudhary</v>
      </c>
    </row>
    <row r="69" ht="15.75" customHeight="1">
      <c r="A69" s="4">
        <v>38.0</v>
      </c>
      <c r="B69" s="4">
        <v>4.0</v>
      </c>
      <c r="C69" s="6" t="s">
        <v>73</v>
      </c>
      <c r="D69" s="4">
        <v>0.0</v>
      </c>
      <c r="E69" s="4"/>
      <c r="F69" s="4">
        <f t="shared" si="3"/>
        <v>0</v>
      </c>
      <c r="G69" s="4">
        <f t="shared" si="4"/>
        <v>0</v>
      </c>
      <c r="H69" s="4" t="str">
        <f>IFERROR(__xludf.DUMMYFUNCTION("IF(C69="""","""", GOOGLETRANSLATE(C69, ""auto"", ""en""))"),"Kanchan Chaudhary")</f>
        <v>Kanchan Chaudhary</v>
      </c>
    </row>
    <row r="70" ht="15.75" customHeight="1">
      <c r="A70" s="7">
        <v>38.0</v>
      </c>
      <c r="B70" s="7">
        <v>5.0</v>
      </c>
      <c r="C70" s="8" t="s">
        <v>74</v>
      </c>
      <c r="D70" s="7">
        <v>200.0</v>
      </c>
      <c r="E70" s="7" t="s">
        <v>5</v>
      </c>
      <c r="F70" s="7">
        <f t="shared" si="3"/>
        <v>0</v>
      </c>
      <c r="G70" s="7">
        <f t="shared" si="4"/>
        <v>200</v>
      </c>
      <c r="H70" s="4" t="str">
        <f>IFERROR(__xludf.DUMMYFUNCTION("IF(C70="""","""", GOOGLETRANSLATE(C70, ""auto"", ""en""))"),"Jitu Chaudhary")</f>
        <v>Jitu Chaudhary</v>
      </c>
    </row>
    <row r="71" ht="15.75" customHeight="1">
      <c r="A71" s="7">
        <v>38.0</v>
      </c>
      <c r="B71" s="7">
        <v>6.0</v>
      </c>
      <c r="C71" s="8" t="s">
        <v>75</v>
      </c>
      <c r="D71" s="7">
        <v>350.0</v>
      </c>
      <c r="E71" s="7" t="s">
        <v>5</v>
      </c>
      <c r="F71" s="7">
        <f t="shared" si="3"/>
        <v>0</v>
      </c>
      <c r="G71" s="7">
        <f t="shared" si="4"/>
        <v>350</v>
      </c>
      <c r="H71" s="4" t="str">
        <f>IFERROR(__xludf.DUMMYFUNCTION("IF(C71="""","""", GOOGLETRANSLATE(C71, ""auto"", ""en""))"),"Niket Choudhary")</f>
        <v>Niket Choudhary</v>
      </c>
    </row>
    <row r="72" ht="15.75" customHeight="1">
      <c r="A72" s="4">
        <v>38.0</v>
      </c>
      <c r="B72" s="4">
        <v>7.0</v>
      </c>
      <c r="C72" s="6" t="s">
        <v>76</v>
      </c>
      <c r="D72" s="4">
        <v>0.0</v>
      </c>
      <c r="E72" s="4"/>
      <c r="F72" s="4">
        <f t="shared" si="3"/>
        <v>0</v>
      </c>
      <c r="G72" s="4">
        <f t="shared" si="4"/>
        <v>0</v>
      </c>
      <c r="H72" s="4" t="str">
        <f>IFERROR(__xludf.DUMMYFUNCTION("IF(C72="""","""", GOOGLETRANSLATE(C72, ""auto"", ""en""))"),"Mayur Dhanmehar")</f>
        <v>Mayur Dhanmehar</v>
      </c>
    </row>
    <row r="73" ht="15.75" customHeight="1">
      <c r="A73" s="4">
        <v>38.0</v>
      </c>
      <c r="B73" s="4">
        <v>8.0</v>
      </c>
      <c r="C73" s="4" t="s">
        <v>77</v>
      </c>
      <c r="D73" s="4">
        <v>0.0</v>
      </c>
      <c r="E73" s="4"/>
      <c r="F73" s="4">
        <f t="shared" si="3"/>
        <v>0</v>
      </c>
      <c r="G73" s="4">
        <f t="shared" si="4"/>
        <v>0</v>
      </c>
      <c r="H73" s="4" t="str">
        <f>IFERROR(__xludf.DUMMYFUNCTION("IF(C73="""","""", GOOGLETRANSLATE(C73, ""auto"", ""en""))"),"Hemchandra Meher")</f>
        <v>Hemchandra Meher</v>
      </c>
    </row>
    <row r="74" ht="15.75" customHeight="1">
      <c r="A74" s="7">
        <v>38.0</v>
      </c>
      <c r="B74" s="7">
        <v>9.0</v>
      </c>
      <c r="C74" s="7" t="s">
        <v>78</v>
      </c>
      <c r="D74" s="7">
        <v>200.0</v>
      </c>
      <c r="E74" s="8" t="s">
        <v>5</v>
      </c>
      <c r="F74" s="7">
        <f t="shared" si="3"/>
        <v>0</v>
      </c>
      <c r="G74" s="7">
        <f t="shared" si="4"/>
        <v>200</v>
      </c>
      <c r="H74" s="4" t="str">
        <f>IFERROR(__xludf.DUMMYFUNCTION("IF(C74="""","""", GOOGLETRANSLATE(C74, ""auto"", ""en""))"),"Hemant Naik")</f>
        <v>Hemant Naik</v>
      </c>
    </row>
    <row r="75" ht="15.75" customHeight="1">
      <c r="A75" s="4">
        <v>38.0</v>
      </c>
      <c r="B75" s="4">
        <v>10.0</v>
      </c>
      <c r="C75" s="4" t="s">
        <v>79</v>
      </c>
      <c r="D75" s="4">
        <v>200.0</v>
      </c>
      <c r="E75" s="4" t="s">
        <v>4</v>
      </c>
      <c r="F75" s="4">
        <f t="shared" si="3"/>
        <v>200</v>
      </c>
      <c r="G75" s="4">
        <f t="shared" si="4"/>
        <v>0</v>
      </c>
      <c r="H75" s="4" t="str">
        <f>IFERROR(__xludf.DUMMYFUNCTION("IF(C75="""","""", GOOGLETRANSLATE(C75, ""auto"", ""en""))"),"Rohan Meher")</f>
        <v>Rohan Meher</v>
      </c>
    </row>
    <row r="76" ht="15.75" customHeight="1">
      <c r="A76" s="4">
        <v>38.0</v>
      </c>
      <c r="B76" s="4">
        <v>11.0</v>
      </c>
      <c r="C76" s="6" t="s">
        <v>53</v>
      </c>
      <c r="D76" s="4">
        <v>350.0</v>
      </c>
      <c r="E76" s="4" t="s">
        <v>4</v>
      </c>
      <c r="F76" s="4">
        <f t="shared" si="3"/>
        <v>350</v>
      </c>
      <c r="G76" s="4">
        <f t="shared" si="4"/>
        <v>0</v>
      </c>
      <c r="H76" s="4" t="str">
        <f>IFERROR(__xludf.DUMMYFUNCTION("IF(C76="""","""", GOOGLETRANSLATE(C76, ""auto"", ""en""))"),"Dhruv Tandel")</f>
        <v>Dhruv Tandel</v>
      </c>
    </row>
    <row r="77" ht="15.75" customHeight="1">
      <c r="A77" s="4">
        <v>38.0</v>
      </c>
      <c r="B77" s="4">
        <v>12.0</v>
      </c>
      <c r="C77" s="6" t="s">
        <v>80</v>
      </c>
      <c r="D77" s="4">
        <v>0.0</v>
      </c>
      <c r="E77" s="4"/>
      <c r="F77" s="4">
        <f t="shared" si="3"/>
        <v>0</v>
      </c>
      <c r="G77" s="4">
        <f t="shared" si="4"/>
        <v>0</v>
      </c>
      <c r="H77" s="4" t="str">
        <f>IFERROR(__xludf.DUMMYFUNCTION("IF(C77="""","""", GOOGLETRANSLATE(C77, ""auto"", ""en""))"),"Yash Raut")</f>
        <v>Yash Raut</v>
      </c>
    </row>
    <row r="78" ht="15.75" customHeight="1">
      <c r="A78" s="7">
        <v>38.0</v>
      </c>
      <c r="B78" s="7">
        <v>13.0</v>
      </c>
      <c r="C78" s="8" t="s">
        <v>27</v>
      </c>
      <c r="D78" s="7">
        <v>200.0</v>
      </c>
      <c r="E78" s="7" t="s">
        <v>5</v>
      </c>
      <c r="F78" s="7">
        <f t="shared" si="3"/>
        <v>0</v>
      </c>
      <c r="G78" s="7">
        <f t="shared" si="4"/>
        <v>200</v>
      </c>
      <c r="H78" s="4" t="str">
        <f>IFERROR(__xludf.DUMMYFUNCTION("IF(C78="""","""", GOOGLETRANSLATE(C78, ""auto"", ""en""))"),"Amol Raut")</f>
        <v>Amol Raut</v>
      </c>
    </row>
    <row r="79" ht="15.75" customHeight="1">
      <c r="A79" s="4">
        <v>38.0</v>
      </c>
      <c r="B79" s="4">
        <v>14.0</v>
      </c>
      <c r="C79" s="6" t="s">
        <v>53</v>
      </c>
      <c r="D79" s="4">
        <v>350.0</v>
      </c>
      <c r="E79" s="4" t="s">
        <v>4</v>
      </c>
      <c r="F79" s="4">
        <f t="shared" si="3"/>
        <v>350</v>
      </c>
      <c r="G79" s="4">
        <f t="shared" si="4"/>
        <v>0</v>
      </c>
      <c r="H79" s="4" t="str">
        <f>IFERROR(__xludf.DUMMYFUNCTION("IF(C79="""","""", GOOGLETRANSLATE(C79, ""auto"", ""en""))"),"Dhruv Tandel")</f>
        <v>Dhruv Tandel</v>
      </c>
    </row>
    <row r="80" ht="15.75" customHeight="1">
      <c r="A80" s="4">
        <v>38.0</v>
      </c>
      <c r="B80" s="4">
        <v>15.0</v>
      </c>
      <c r="C80" s="6" t="s">
        <v>81</v>
      </c>
      <c r="D80" s="4">
        <v>0.0</v>
      </c>
      <c r="E80" s="4"/>
      <c r="F80" s="4">
        <f t="shared" si="3"/>
        <v>0</v>
      </c>
      <c r="G80" s="4">
        <f t="shared" si="4"/>
        <v>0</v>
      </c>
      <c r="H80" s="4" t="str">
        <f>IFERROR(__xludf.DUMMYFUNCTION("IF(C80="""","""", GOOGLETRANSLATE(C80, ""auto"", ""en""))"),"Chirag Chaudhary")</f>
        <v>Chirag Chaudhary</v>
      </c>
    </row>
    <row r="81" ht="15.75" customHeight="1">
      <c r="A81" s="7">
        <v>38.0</v>
      </c>
      <c r="B81" s="7">
        <v>16.0</v>
      </c>
      <c r="C81" s="8" t="s">
        <v>57</v>
      </c>
      <c r="D81" s="8">
        <v>200.0</v>
      </c>
      <c r="E81" s="7" t="s">
        <v>5</v>
      </c>
      <c r="F81" s="7">
        <f t="shared" si="3"/>
        <v>0</v>
      </c>
      <c r="G81" s="7">
        <f t="shared" si="4"/>
        <v>200</v>
      </c>
      <c r="H81" s="4" t="str">
        <f>IFERROR(__xludf.DUMMYFUNCTION("IF(C81="""","""", GOOGLETRANSLATE(C81, ""auto"", ""en""))"),"Nitesh Choudhary")</f>
        <v>Nitesh Choudhary</v>
      </c>
    </row>
    <row r="82" ht="15.75" customHeight="1">
      <c r="A82" s="7">
        <v>38.0</v>
      </c>
      <c r="B82" s="7">
        <v>17.0</v>
      </c>
      <c r="C82" s="8" t="s">
        <v>82</v>
      </c>
      <c r="D82" s="7">
        <v>200.0</v>
      </c>
      <c r="E82" s="7" t="s">
        <v>5</v>
      </c>
      <c r="F82" s="7">
        <f t="shared" si="3"/>
        <v>0</v>
      </c>
      <c r="G82" s="7">
        <f t="shared" si="4"/>
        <v>200</v>
      </c>
      <c r="H82" s="4" t="str">
        <f>IFERROR(__xludf.DUMMYFUNCTION("IF(C82="""","""", GOOGLETRANSLATE(C82, ""auto"", ""en""))"),"Prajyot Dhanu")</f>
        <v>Prajyot Dhanu</v>
      </c>
    </row>
    <row r="83" ht="15.75" customHeight="1">
      <c r="A83" s="4">
        <v>38.0</v>
      </c>
      <c r="B83" s="4">
        <v>18.0</v>
      </c>
      <c r="C83" s="6" t="s">
        <v>83</v>
      </c>
      <c r="D83" s="4">
        <v>0.0</v>
      </c>
      <c r="E83" s="4"/>
      <c r="F83" s="4">
        <f t="shared" si="3"/>
        <v>0</v>
      </c>
      <c r="G83" s="4">
        <f t="shared" si="4"/>
        <v>0</v>
      </c>
      <c r="H83" s="4" t="str">
        <f>IFERROR(__xludf.DUMMYFUNCTION("IF(C83="""","""", GOOGLETRANSLATE(C83, ""auto"", ""en""))"),"Tushar Tandel")</f>
        <v>Tushar Tandel</v>
      </c>
    </row>
    <row r="84" ht="15.75" customHeight="1">
      <c r="A84" s="4">
        <v>38.0</v>
      </c>
      <c r="B84" s="4">
        <v>19.0</v>
      </c>
      <c r="C84" s="6" t="s">
        <v>84</v>
      </c>
      <c r="D84" s="4">
        <v>350.0</v>
      </c>
      <c r="E84" s="4" t="s">
        <v>4</v>
      </c>
      <c r="F84" s="4">
        <f t="shared" si="3"/>
        <v>350</v>
      </c>
      <c r="G84" s="4">
        <f t="shared" si="4"/>
        <v>0</v>
      </c>
      <c r="H84" s="4" t="str">
        <f>IFERROR(__xludf.DUMMYFUNCTION("IF(C84="""","""", GOOGLETRANSLATE(C84, ""auto"", ""en""))"),"Soham Arekar")</f>
        <v>Soham Arekar</v>
      </c>
    </row>
    <row r="85" ht="15.75" customHeight="1">
      <c r="A85" s="4">
        <v>38.0</v>
      </c>
      <c r="B85" s="4">
        <v>20.0</v>
      </c>
      <c r="C85" s="6" t="s">
        <v>85</v>
      </c>
      <c r="D85" s="4">
        <v>200.0</v>
      </c>
      <c r="E85" s="4" t="s">
        <v>4</v>
      </c>
      <c r="F85" s="4">
        <f t="shared" si="3"/>
        <v>200</v>
      </c>
      <c r="G85" s="4">
        <f t="shared" si="4"/>
        <v>0</v>
      </c>
      <c r="H85" s="4" t="str">
        <f>IFERROR(__xludf.DUMMYFUNCTION("IF(C85="""","""", GOOGLETRANSLATE(C85, ""auto"", ""en""))"),"Pranaya Tandel")</f>
        <v>Pranaya Tandel</v>
      </c>
    </row>
    <row r="86" ht="15.75" customHeight="1">
      <c r="A86" s="7">
        <v>38.0</v>
      </c>
      <c r="B86" s="7">
        <v>21.0</v>
      </c>
      <c r="C86" s="7" t="s">
        <v>36</v>
      </c>
      <c r="D86" s="7">
        <v>200.0</v>
      </c>
      <c r="E86" s="7" t="s">
        <v>5</v>
      </c>
      <c r="F86" s="7">
        <f t="shared" si="3"/>
        <v>0</v>
      </c>
      <c r="G86" s="7">
        <f t="shared" si="4"/>
        <v>200</v>
      </c>
      <c r="H86" s="4" t="str">
        <f>IFERROR(__xludf.DUMMYFUNCTION("IF(C86="""","""", GOOGLETRANSLATE(C86, ""auto"", ""en""))"),"Akshay Chaudhary")</f>
        <v>Akshay Chaudhary</v>
      </c>
    </row>
    <row r="87" ht="15.75" customHeight="1">
      <c r="A87" s="7">
        <v>38.0</v>
      </c>
      <c r="B87" s="7">
        <v>22.0</v>
      </c>
      <c r="C87" s="7" t="s">
        <v>86</v>
      </c>
      <c r="D87" s="7">
        <v>200.0</v>
      </c>
      <c r="E87" s="7" t="s">
        <v>5</v>
      </c>
      <c r="F87" s="7">
        <f t="shared" si="3"/>
        <v>0</v>
      </c>
      <c r="G87" s="7">
        <f t="shared" si="4"/>
        <v>200</v>
      </c>
      <c r="H87" s="4" t="str">
        <f>IFERROR(__xludf.DUMMYFUNCTION("IF(C87="""","""", GOOGLETRANSLATE(C87, ""auto"", ""en""))"),"Pranay Choudhary")</f>
        <v>Pranay Choudhary</v>
      </c>
    </row>
    <row r="88" ht="15.75" customHeight="1">
      <c r="A88" s="4">
        <v>38.0</v>
      </c>
      <c r="B88" s="4">
        <v>23.0</v>
      </c>
      <c r="C88" s="6" t="s">
        <v>87</v>
      </c>
      <c r="D88" s="4">
        <v>200.0</v>
      </c>
      <c r="E88" s="4" t="s">
        <v>4</v>
      </c>
      <c r="F88" s="4">
        <f t="shared" si="3"/>
        <v>200</v>
      </c>
      <c r="G88" s="4">
        <f t="shared" si="4"/>
        <v>0</v>
      </c>
      <c r="H88" s="4" t="str">
        <f>IFERROR(__xludf.DUMMYFUNCTION("IF(C88="""","""", GOOGLETRANSLATE(C88, ""auto"", ""en""))"),"Amol Patil")</f>
        <v>Amol Patil</v>
      </c>
    </row>
    <row r="89" ht="15.75" customHeight="1">
      <c r="A89" s="4">
        <v>38.0</v>
      </c>
      <c r="B89" s="4">
        <v>24.0</v>
      </c>
      <c r="C89" s="6" t="s">
        <v>88</v>
      </c>
      <c r="D89" s="4">
        <v>250.0</v>
      </c>
      <c r="E89" s="4" t="s">
        <v>4</v>
      </c>
      <c r="F89" s="4">
        <f t="shared" si="3"/>
        <v>250</v>
      </c>
      <c r="G89" s="4">
        <f t="shared" si="4"/>
        <v>0</v>
      </c>
      <c r="H89" s="4" t="str">
        <f>IFERROR(__xludf.DUMMYFUNCTION("IF(C89="""","""", GOOGLETRANSLATE(C89, ""auto"", ""en""))"),"Bhupesh Meher")</f>
        <v>Bhupesh Meher</v>
      </c>
    </row>
    <row r="90" ht="15.75" customHeight="1">
      <c r="A90" s="4">
        <v>38.0</v>
      </c>
      <c r="B90" s="4">
        <v>25.0</v>
      </c>
      <c r="C90" s="6" t="s">
        <v>89</v>
      </c>
      <c r="D90" s="4">
        <v>200.0</v>
      </c>
      <c r="E90" s="4" t="s">
        <v>4</v>
      </c>
      <c r="F90" s="4">
        <f t="shared" si="3"/>
        <v>200</v>
      </c>
      <c r="G90" s="4">
        <f t="shared" si="4"/>
        <v>0</v>
      </c>
      <c r="H90" s="4" t="str">
        <f>IFERROR(__xludf.DUMMYFUNCTION("IF(C90="""","""", GOOGLETRANSLATE(C90, ""auto"", ""en""))"),"Smile will shine")</f>
        <v>Smile will shine</v>
      </c>
    </row>
    <row r="91" ht="15.75" customHeight="1">
      <c r="A91" s="4">
        <v>38.0</v>
      </c>
      <c r="B91" s="4">
        <v>26.0</v>
      </c>
      <c r="C91" s="6" t="s">
        <v>90</v>
      </c>
      <c r="D91" s="4">
        <v>0.0</v>
      </c>
      <c r="E91" s="4"/>
      <c r="F91" s="4">
        <f t="shared" si="3"/>
        <v>0</v>
      </c>
      <c r="G91" s="4">
        <f t="shared" si="4"/>
        <v>0</v>
      </c>
      <c r="H91" s="4" t="str">
        <f>IFERROR(__xludf.DUMMYFUNCTION("IF(C91="""","""", GOOGLETRANSLATE(C91, ""auto"", ""en""))"),"Vansh Tandel")</f>
        <v>Vansh Tandel</v>
      </c>
    </row>
    <row r="92" ht="15.75" customHeight="1">
      <c r="A92" s="4">
        <v>38.0</v>
      </c>
      <c r="B92" s="4">
        <v>27.0</v>
      </c>
      <c r="C92" s="6" t="s">
        <v>90</v>
      </c>
      <c r="D92" s="4">
        <v>0.0</v>
      </c>
      <c r="E92" s="4"/>
      <c r="F92" s="4">
        <f t="shared" si="3"/>
        <v>0</v>
      </c>
      <c r="G92" s="4">
        <f t="shared" si="4"/>
        <v>0</v>
      </c>
      <c r="H92" s="4" t="str">
        <f>IFERROR(__xludf.DUMMYFUNCTION("IF(C92="""","""", GOOGLETRANSLATE(C92, ""auto"", ""en""))"),"Vansh Tandel")</f>
        <v>Vansh Tandel</v>
      </c>
    </row>
    <row r="93" ht="15.75" customHeight="1">
      <c r="A93" s="4">
        <v>38.0</v>
      </c>
      <c r="B93" s="4">
        <v>28.0</v>
      </c>
      <c r="C93" s="6" t="s">
        <v>90</v>
      </c>
      <c r="D93" s="4">
        <v>0.0</v>
      </c>
      <c r="E93" s="4"/>
      <c r="F93" s="4">
        <f t="shared" si="3"/>
        <v>0</v>
      </c>
      <c r="G93" s="4">
        <f t="shared" si="4"/>
        <v>0</v>
      </c>
      <c r="H93" s="4" t="str">
        <f>IFERROR(__xludf.DUMMYFUNCTION("IF(C93="""","""", GOOGLETRANSLATE(C93, ""auto"", ""en""))"),"Vansh Tandel")</f>
        <v>Vansh Tandel</v>
      </c>
    </row>
    <row r="94" ht="15.75" customHeight="1">
      <c r="A94" s="7">
        <v>38.0</v>
      </c>
      <c r="B94" s="7">
        <v>29.0</v>
      </c>
      <c r="C94" s="8" t="s">
        <v>91</v>
      </c>
      <c r="D94" s="8">
        <v>350.0</v>
      </c>
      <c r="E94" s="7" t="s">
        <v>5</v>
      </c>
      <c r="F94" s="7">
        <f t="shared" si="3"/>
        <v>0</v>
      </c>
      <c r="G94" s="7">
        <f t="shared" si="4"/>
        <v>350</v>
      </c>
      <c r="H94" s="4" t="str">
        <f>IFERROR(__xludf.DUMMYFUNCTION("IF(C94="""","""", GOOGLETRANSLATE(C94, ""auto"", ""en""))"),"Viva Keni")</f>
        <v>Viva Keni</v>
      </c>
    </row>
    <row r="95" ht="15.75" customHeight="1">
      <c r="A95" s="7">
        <v>38.0</v>
      </c>
      <c r="B95" s="7">
        <v>30.0</v>
      </c>
      <c r="C95" s="7" t="s">
        <v>92</v>
      </c>
      <c r="D95" s="8">
        <v>350.0</v>
      </c>
      <c r="E95" s="8" t="s">
        <v>5</v>
      </c>
      <c r="F95" s="7">
        <f t="shared" si="3"/>
        <v>0</v>
      </c>
      <c r="G95" s="7">
        <f t="shared" si="4"/>
        <v>350</v>
      </c>
      <c r="H95" s="4" t="str">
        <f>IFERROR(__xludf.DUMMYFUNCTION("IF(C95="""","""", GOOGLETRANSLATE(C95, ""auto"", ""en""))"),"Vinod Meher")</f>
        <v>Vinod Meher</v>
      </c>
    </row>
    <row r="96" ht="15.75" customHeight="1">
      <c r="A96" s="4">
        <v>36.0</v>
      </c>
      <c r="B96" s="4">
        <v>1.0</v>
      </c>
      <c r="C96" s="6" t="s">
        <v>93</v>
      </c>
      <c r="D96" s="4">
        <v>200.0</v>
      </c>
      <c r="E96" s="4" t="s">
        <v>4</v>
      </c>
      <c r="F96" s="4">
        <f t="shared" si="3"/>
        <v>200</v>
      </c>
      <c r="G96" s="4">
        <f t="shared" si="4"/>
        <v>0</v>
      </c>
      <c r="H96" s="4" t="str">
        <f>IFERROR(__xludf.DUMMYFUNCTION("IF(C96="""","""", GOOGLETRANSLATE(C96, ""auto"", ""en""))"),"Harsh Tamore")</f>
        <v>Harsh Tamore</v>
      </c>
    </row>
    <row r="97" ht="15.75" customHeight="1">
      <c r="A97" s="4">
        <v>36.0</v>
      </c>
      <c r="B97" s="4">
        <v>2.0</v>
      </c>
      <c r="C97" s="6" t="s">
        <v>94</v>
      </c>
      <c r="D97" s="4">
        <v>200.0</v>
      </c>
      <c r="E97" s="4" t="s">
        <v>4</v>
      </c>
      <c r="F97" s="4">
        <f t="shared" si="3"/>
        <v>200</v>
      </c>
      <c r="G97" s="4">
        <f t="shared" si="4"/>
        <v>0</v>
      </c>
      <c r="H97" s="4" t="str">
        <f>IFERROR(__xludf.DUMMYFUNCTION("IF(C97="""","""", GOOGLETRANSLATE(C97, ""auto"", ""en""))"),"Tanish Raut")</f>
        <v>Tanish Raut</v>
      </c>
    </row>
    <row r="98" ht="15.75" customHeight="1">
      <c r="A98" s="7">
        <v>36.0</v>
      </c>
      <c r="B98" s="7">
        <v>3.0</v>
      </c>
      <c r="C98" s="8" t="s">
        <v>95</v>
      </c>
      <c r="D98" s="7">
        <v>200.0</v>
      </c>
      <c r="E98" s="7" t="s">
        <v>5</v>
      </c>
      <c r="F98" s="7">
        <f t="shared" si="3"/>
        <v>0</v>
      </c>
      <c r="G98" s="7">
        <f t="shared" si="4"/>
        <v>200</v>
      </c>
      <c r="H98" s="4" t="str">
        <f>IFERROR(__xludf.DUMMYFUNCTION("IF(C98="""","""", GOOGLETRANSLATE(C98, ""auto"", ""en""))"),"Taksh Choudhary")</f>
        <v>Taksh Choudhary</v>
      </c>
    </row>
    <row r="99" ht="15.75" customHeight="1">
      <c r="A99" s="7">
        <v>36.0</v>
      </c>
      <c r="B99" s="7">
        <v>4.0</v>
      </c>
      <c r="C99" s="8" t="s">
        <v>96</v>
      </c>
      <c r="D99" s="7">
        <v>200.0</v>
      </c>
      <c r="E99" s="7" t="s">
        <v>5</v>
      </c>
      <c r="F99" s="7">
        <f t="shared" si="3"/>
        <v>0</v>
      </c>
      <c r="G99" s="7">
        <f t="shared" si="4"/>
        <v>200</v>
      </c>
      <c r="H99" s="4" t="str">
        <f>IFERROR(__xludf.DUMMYFUNCTION("IF(C99="""","""", GOOGLETRANSLATE(C99, ""auto"", ""en""))"),"Tushar Naik")</f>
        <v>Tushar Naik</v>
      </c>
    </row>
    <row r="100" ht="15.75" customHeight="1">
      <c r="A100" s="4">
        <v>36.0</v>
      </c>
      <c r="B100" s="4">
        <v>5.0</v>
      </c>
      <c r="C100" s="6" t="s">
        <v>97</v>
      </c>
      <c r="D100" s="4">
        <v>0.0</v>
      </c>
      <c r="E100" s="4"/>
      <c r="F100" s="4">
        <f t="shared" si="3"/>
        <v>0</v>
      </c>
      <c r="G100" s="4">
        <f t="shared" si="4"/>
        <v>0</v>
      </c>
      <c r="H100" s="4" t="str">
        <f>IFERROR(__xludf.DUMMYFUNCTION("IF(C100="""","""", GOOGLETRANSLATE(C100, ""auto"", ""en""))"),"Sai Meher")</f>
        <v>Sai Meher</v>
      </c>
    </row>
    <row r="101" ht="15.75" customHeight="1">
      <c r="A101" s="7">
        <v>36.0</v>
      </c>
      <c r="B101" s="7">
        <v>6.0</v>
      </c>
      <c r="C101" s="8" t="s">
        <v>27</v>
      </c>
      <c r="D101" s="7">
        <v>200.0</v>
      </c>
      <c r="E101" s="7" t="s">
        <v>5</v>
      </c>
      <c r="F101" s="7">
        <f t="shared" si="3"/>
        <v>0</v>
      </c>
      <c r="G101" s="7">
        <f t="shared" si="4"/>
        <v>200</v>
      </c>
      <c r="H101" s="4" t="str">
        <f>IFERROR(__xludf.DUMMYFUNCTION("IF(C101="""","""", GOOGLETRANSLATE(C101, ""auto"", ""en""))"),"Amol Raut")</f>
        <v>Amol Raut</v>
      </c>
    </row>
    <row r="102" ht="15.75" customHeight="1">
      <c r="A102" s="4">
        <v>36.0</v>
      </c>
      <c r="B102" s="4">
        <v>7.0</v>
      </c>
      <c r="C102" s="6" t="s">
        <v>98</v>
      </c>
      <c r="D102" s="4">
        <v>200.0</v>
      </c>
      <c r="E102" s="4" t="s">
        <v>4</v>
      </c>
      <c r="F102" s="4">
        <f t="shared" si="3"/>
        <v>200</v>
      </c>
      <c r="G102" s="4">
        <f t="shared" si="4"/>
        <v>0</v>
      </c>
      <c r="H102" s="4" t="str">
        <f>IFERROR(__xludf.DUMMYFUNCTION("IF(C102="""","""", GOOGLETRANSLATE(C102, ""auto"", ""en""))"),"Harshit Raut")</f>
        <v>Harshit Raut</v>
      </c>
    </row>
    <row r="103" ht="15.75" customHeight="1">
      <c r="A103" s="4">
        <v>36.0</v>
      </c>
      <c r="B103" s="4">
        <v>8.0</v>
      </c>
      <c r="C103" s="6" t="s">
        <v>99</v>
      </c>
      <c r="D103" s="4">
        <v>200.0</v>
      </c>
      <c r="E103" s="4" t="s">
        <v>4</v>
      </c>
      <c r="F103" s="4">
        <f t="shared" si="3"/>
        <v>200</v>
      </c>
      <c r="G103" s="4">
        <f t="shared" si="4"/>
        <v>0</v>
      </c>
      <c r="H103" s="4" t="str">
        <f>IFERROR(__xludf.DUMMYFUNCTION("IF(C103="""","""", GOOGLETRANSLATE(C103, ""auto"", ""en""))"),"Jeet Raut")</f>
        <v>Jeet Raut</v>
      </c>
    </row>
    <row r="104" ht="15.75" customHeight="1">
      <c r="A104" s="7">
        <v>36.0</v>
      </c>
      <c r="B104" s="7">
        <v>9.0</v>
      </c>
      <c r="C104" s="8" t="s">
        <v>100</v>
      </c>
      <c r="D104" s="8">
        <v>200.0</v>
      </c>
      <c r="E104" s="8" t="s">
        <v>5</v>
      </c>
      <c r="F104" s="7">
        <f t="shared" si="3"/>
        <v>0</v>
      </c>
      <c r="G104" s="7">
        <f t="shared" si="4"/>
        <v>200</v>
      </c>
      <c r="H104" s="4" t="str">
        <f>IFERROR(__xludf.DUMMYFUNCTION("IF(C104="""","""", GOOGLETRANSLATE(C104, ""auto"", ""en""))"),"Jignesh Chaudhary")</f>
        <v>Jignesh Chaudhary</v>
      </c>
    </row>
    <row r="105" ht="15.75" customHeight="1">
      <c r="A105" s="4">
        <v>36.0</v>
      </c>
      <c r="B105" s="4">
        <v>10.0</v>
      </c>
      <c r="C105" s="6" t="s">
        <v>101</v>
      </c>
      <c r="D105" s="4">
        <v>200.0</v>
      </c>
      <c r="E105" s="4" t="s">
        <v>4</v>
      </c>
      <c r="F105" s="4">
        <f t="shared" si="3"/>
        <v>200</v>
      </c>
      <c r="G105" s="4">
        <f t="shared" si="4"/>
        <v>0</v>
      </c>
      <c r="H105" s="4" t="str">
        <f>IFERROR(__xludf.DUMMYFUNCTION("IF(C105="""","""", GOOGLETRANSLATE(C105, ""auto"", ""en""))"),"Soham Raut")</f>
        <v>Soham Raut</v>
      </c>
    </row>
    <row r="106" ht="15.75" customHeight="1">
      <c r="A106" s="4">
        <v>36.0</v>
      </c>
      <c r="B106" s="4">
        <v>11.0</v>
      </c>
      <c r="C106" s="4" t="s">
        <v>102</v>
      </c>
      <c r="D106" s="4">
        <v>200.0</v>
      </c>
      <c r="E106" s="4" t="s">
        <v>4</v>
      </c>
      <c r="F106" s="4">
        <f t="shared" si="3"/>
        <v>200</v>
      </c>
      <c r="G106" s="4">
        <f t="shared" si="4"/>
        <v>0</v>
      </c>
      <c r="H106" s="4" t="str">
        <f>IFERROR(__xludf.DUMMYFUNCTION("IF(C106="""","""", GOOGLETRANSLATE(C106, ""auto"", ""en""))"),"Kunal")</f>
        <v>Kunal</v>
      </c>
    </row>
    <row r="107" ht="15.75" customHeight="1">
      <c r="A107" s="6">
        <v>34.0</v>
      </c>
      <c r="B107" s="4">
        <v>1.0</v>
      </c>
      <c r="C107" s="6" t="s">
        <v>103</v>
      </c>
      <c r="D107" s="6">
        <v>200.0</v>
      </c>
      <c r="E107" s="6" t="s">
        <v>4</v>
      </c>
      <c r="F107" s="6">
        <v>200.0</v>
      </c>
      <c r="H107" s="6" t="s">
        <v>104</v>
      </c>
    </row>
    <row r="108" ht="15.75" customHeight="1">
      <c r="A108" s="7">
        <v>32.0</v>
      </c>
      <c r="B108" s="7">
        <v>1.0</v>
      </c>
      <c r="C108" s="8" t="s">
        <v>105</v>
      </c>
      <c r="D108" s="7">
        <v>200.0</v>
      </c>
      <c r="E108" s="7" t="s">
        <v>5</v>
      </c>
      <c r="F108" s="7">
        <f t="shared" ref="F108:F119" si="5">IF(E108="Cash", D108, 0)</f>
        <v>0</v>
      </c>
      <c r="G108" s="7">
        <f t="shared" ref="G108:G119" si="6">IF(E108="GPay", D108, 0)</f>
        <v>200</v>
      </c>
      <c r="H108" s="4" t="str">
        <f>IFERROR(__xludf.DUMMYFUNCTION("IF(C108="""","""", GOOGLETRANSLATE(C108, ""auto"", ""en""))"),"Ansh Raut")</f>
        <v>Ansh Raut</v>
      </c>
    </row>
    <row r="109" ht="15.75" customHeight="1">
      <c r="A109" s="4">
        <v>32.0</v>
      </c>
      <c r="B109" s="4">
        <v>2.0</v>
      </c>
      <c r="C109" s="6" t="s">
        <v>106</v>
      </c>
      <c r="D109" s="4">
        <v>200.0</v>
      </c>
      <c r="E109" s="4" t="s">
        <v>4</v>
      </c>
      <c r="F109" s="4">
        <f t="shared" si="5"/>
        <v>200</v>
      </c>
      <c r="G109" s="4">
        <f t="shared" si="6"/>
        <v>0</v>
      </c>
      <c r="H109" s="4" t="str">
        <f>IFERROR(__xludf.DUMMYFUNCTION("IF(C109="""","""", GOOGLETRANSLATE(C109, ""auto"", ""en""))"),"Utkarsh Raut")</f>
        <v>Utkarsh Raut</v>
      </c>
    </row>
    <row r="110" ht="15.75" customHeight="1">
      <c r="A110" s="7">
        <v>32.0</v>
      </c>
      <c r="B110" s="7">
        <v>3.0</v>
      </c>
      <c r="C110" s="8" t="s">
        <v>107</v>
      </c>
      <c r="D110" s="7">
        <v>200.0</v>
      </c>
      <c r="E110" s="7" t="s">
        <v>5</v>
      </c>
      <c r="F110" s="7">
        <f t="shared" si="5"/>
        <v>0</v>
      </c>
      <c r="G110" s="7">
        <f t="shared" si="6"/>
        <v>200</v>
      </c>
      <c r="H110" s="4" t="str">
        <f>IFERROR(__xludf.DUMMYFUNCTION("IF(C110="""","""", GOOGLETRANSLATE(C110, ""auto"", ""en""))"),"Jeet Chaudhary")</f>
        <v>Jeet Chaudhary</v>
      </c>
    </row>
    <row r="111" ht="15.75" customHeight="1">
      <c r="A111" s="8">
        <v>32.0</v>
      </c>
      <c r="B111" s="7">
        <v>4.0</v>
      </c>
      <c r="C111" s="8" t="s">
        <v>108</v>
      </c>
      <c r="D111" s="7">
        <v>200.0</v>
      </c>
      <c r="E111" s="7" t="s">
        <v>5</v>
      </c>
      <c r="F111" s="7">
        <f t="shared" si="5"/>
        <v>0</v>
      </c>
      <c r="G111" s="7">
        <f t="shared" si="6"/>
        <v>200</v>
      </c>
      <c r="H111" s="4" t="str">
        <f>IFERROR(__xludf.DUMMYFUNCTION("IF(C111="""","""", GOOGLETRANSLATE(C111, ""auto"", ""en""))"),"Saanvi Tandel")</f>
        <v>Saanvi Tandel</v>
      </c>
    </row>
    <row r="112" ht="15.75" customHeight="1">
      <c r="A112" s="4">
        <v>32.0</v>
      </c>
      <c r="B112" s="4">
        <v>5.0</v>
      </c>
      <c r="C112" s="6" t="s">
        <v>109</v>
      </c>
      <c r="D112" s="4">
        <v>200.0</v>
      </c>
      <c r="E112" s="4" t="s">
        <v>4</v>
      </c>
      <c r="F112" s="4">
        <f t="shared" si="5"/>
        <v>200</v>
      </c>
      <c r="G112" s="4">
        <f t="shared" si="6"/>
        <v>0</v>
      </c>
      <c r="H112" s="4" t="str">
        <f>IFERROR(__xludf.DUMMYFUNCTION("IF(C112="""","""", GOOGLETRANSLATE(C112, ""auto"", ""en""))"),"Exalted Sagittarius")</f>
        <v>Exalted Sagittarius</v>
      </c>
    </row>
    <row r="113" ht="15.75" customHeight="1">
      <c r="A113" s="4">
        <v>32.0</v>
      </c>
      <c r="B113" s="4">
        <v>6.0</v>
      </c>
      <c r="C113" s="6" t="s">
        <v>63</v>
      </c>
      <c r="D113" s="4">
        <v>200.0</v>
      </c>
      <c r="E113" s="4" t="s">
        <v>4</v>
      </c>
      <c r="F113" s="4">
        <f t="shared" si="5"/>
        <v>200</v>
      </c>
      <c r="G113" s="4">
        <f t="shared" si="6"/>
        <v>0</v>
      </c>
      <c r="H113" s="4" t="str">
        <f>IFERROR(__xludf.DUMMYFUNCTION("IF(C113="""","""", GOOGLETRANSLATE(C113, ""auto"", ""en""))"),"Pranaya Tandel")</f>
        <v>Pranaya Tandel</v>
      </c>
    </row>
    <row r="114" ht="15.75" customHeight="1">
      <c r="A114" s="4">
        <v>32.0</v>
      </c>
      <c r="B114" s="4">
        <v>7.0</v>
      </c>
      <c r="C114" s="6" t="s">
        <v>110</v>
      </c>
      <c r="D114" s="4">
        <v>250.0</v>
      </c>
      <c r="E114" s="4" t="s">
        <v>4</v>
      </c>
      <c r="F114" s="4">
        <f t="shared" si="5"/>
        <v>250</v>
      </c>
      <c r="G114" s="4">
        <f t="shared" si="6"/>
        <v>0</v>
      </c>
      <c r="H114" s="4" t="str">
        <f>IFERROR(__xludf.DUMMYFUNCTION("IF(C114="""","""", GOOGLETRANSLATE(C114, ""auto"", ""en""))"),"Khushi Meher")</f>
        <v>Khushi Meher</v>
      </c>
    </row>
    <row r="115" ht="15.75" customHeight="1">
      <c r="A115" s="7">
        <v>30.0</v>
      </c>
      <c r="B115" s="7">
        <v>1.0</v>
      </c>
      <c r="C115" s="8" t="s">
        <v>27</v>
      </c>
      <c r="D115" s="7">
        <v>200.0</v>
      </c>
      <c r="E115" s="7" t="s">
        <v>5</v>
      </c>
      <c r="F115" s="7">
        <f t="shared" si="5"/>
        <v>0</v>
      </c>
      <c r="G115" s="7">
        <f t="shared" si="6"/>
        <v>200</v>
      </c>
      <c r="H115" s="4" t="str">
        <f>IFERROR(__xludf.DUMMYFUNCTION("IF(C115="""","""", GOOGLETRANSLATE(C115, ""auto"", ""en""))"),"Amol Raut")</f>
        <v>Amol Raut</v>
      </c>
    </row>
    <row r="116" ht="15.75" customHeight="1">
      <c r="A116" s="4">
        <v>30.0</v>
      </c>
      <c r="B116" s="4">
        <v>2.0</v>
      </c>
      <c r="C116" s="6" t="s">
        <v>111</v>
      </c>
      <c r="D116" s="4">
        <v>200.0</v>
      </c>
      <c r="E116" s="4" t="s">
        <v>4</v>
      </c>
      <c r="F116" s="4">
        <f t="shared" si="5"/>
        <v>200</v>
      </c>
      <c r="G116" s="4">
        <f t="shared" si="6"/>
        <v>0</v>
      </c>
      <c r="H116" s="4" t="str">
        <f>IFERROR(__xludf.DUMMYFUNCTION("IF(C116="""","""", GOOGLETRANSLATE(C116, ""auto"", ""en""))"),"Bhavarth Naik")</f>
        <v>Bhavarth Naik</v>
      </c>
    </row>
    <row r="117" ht="15.75" customHeight="1">
      <c r="A117" s="4">
        <v>30.0</v>
      </c>
      <c r="B117" s="4">
        <v>3.0</v>
      </c>
      <c r="C117" s="6" t="s">
        <v>63</v>
      </c>
      <c r="D117" s="4">
        <v>200.0</v>
      </c>
      <c r="E117" s="4" t="s">
        <v>4</v>
      </c>
      <c r="F117" s="4">
        <f t="shared" si="5"/>
        <v>200</v>
      </c>
      <c r="G117" s="4">
        <f t="shared" si="6"/>
        <v>0</v>
      </c>
      <c r="H117" s="4" t="str">
        <f>IFERROR(__xludf.DUMMYFUNCTION("IF(C117="""","""", GOOGLETRANSLATE(C117, ""auto"", ""en""))"),"Pranaya Tandel")</f>
        <v>Pranaya Tandel</v>
      </c>
    </row>
    <row r="118" ht="15.75" customHeight="1">
      <c r="A118" s="4">
        <v>30.0</v>
      </c>
      <c r="B118" s="4">
        <v>4.0</v>
      </c>
      <c r="C118" s="6" t="s">
        <v>64</v>
      </c>
      <c r="D118" s="4">
        <v>0.0</v>
      </c>
      <c r="E118" s="4"/>
      <c r="F118" s="4">
        <f t="shared" si="5"/>
        <v>0</v>
      </c>
      <c r="G118" s="4">
        <f t="shared" si="6"/>
        <v>0</v>
      </c>
      <c r="H118" s="4" t="str">
        <f>IFERROR(__xludf.DUMMYFUNCTION("IF(C118="""","""", GOOGLETRANSLATE(C118, ""auto"", ""en""))"),"Rohit Tandel")</f>
        <v>Rohit Tandel</v>
      </c>
    </row>
    <row r="119" ht="15.75" customHeight="1">
      <c r="A119" s="4">
        <v>30.0</v>
      </c>
      <c r="B119" s="4">
        <v>5.0</v>
      </c>
      <c r="C119" s="6" t="s">
        <v>112</v>
      </c>
      <c r="D119" s="4">
        <v>0.0</v>
      </c>
      <c r="E119" s="4"/>
      <c r="F119" s="4">
        <f t="shared" si="5"/>
        <v>0</v>
      </c>
      <c r="G119" s="4">
        <f t="shared" si="6"/>
        <v>0</v>
      </c>
      <c r="H119" s="4" t="str">
        <f>IFERROR(__xludf.DUMMYFUNCTION("IF(C119="""","""", GOOGLETRANSLATE(C119, ""auto"", ""en""))"),"Jayastu Chowdhury")</f>
        <v>Jayastu Chowdhury</v>
      </c>
    </row>
    <row r="120" ht="15.75" customHeight="1">
      <c r="A120" s="4">
        <v>28.0</v>
      </c>
      <c r="B120" s="4">
        <v>1.0</v>
      </c>
      <c r="C120" s="9" t="s">
        <v>91</v>
      </c>
      <c r="D120" s="10">
        <v>0.0</v>
      </c>
      <c r="E120" s="11" t="s">
        <v>12</v>
      </c>
      <c r="F120" s="12">
        <f>IF(E120="Cash", D120, 0)</f>
        <v>0</v>
      </c>
      <c r="G120" s="12">
        <f>IF(E120="GPay", D120, 0)</f>
        <v>0</v>
      </c>
    </row>
    <row r="121" ht="15.75" customHeight="1">
      <c r="A121" s="7">
        <v>28.0</v>
      </c>
      <c r="B121" s="7">
        <v>2.0</v>
      </c>
      <c r="C121" s="8" t="s">
        <v>113</v>
      </c>
      <c r="D121" s="7">
        <v>200.0</v>
      </c>
      <c r="E121" s="7" t="s">
        <v>5</v>
      </c>
      <c r="F121" s="7">
        <f t="shared" ref="F121:F138" si="7">IF(E121="Cash", D121, 0)</f>
        <v>0</v>
      </c>
      <c r="G121" s="7">
        <f t="shared" ref="G121:G138" si="8">IF(E121="GPay", D121, 0)</f>
        <v>200</v>
      </c>
      <c r="H121" s="4" t="str">
        <f>IFERROR(__xludf.DUMMYFUNCTION("IF(C121="""","""", GOOGLETRANSLATE(C121, ""auto"", ""en""))"),"Vihan Tandel ")</f>
        <v>Vihan Tandel </v>
      </c>
    </row>
    <row r="122" ht="15.75" customHeight="1">
      <c r="A122" s="4">
        <v>28.0</v>
      </c>
      <c r="B122" s="4">
        <v>3.0</v>
      </c>
      <c r="C122" s="6" t="s">
        <v>114</v>
      </c>
      <c r="D122" s="4">
        <v>0.0</v>
      </c>
      <c r="E122" s="4"/>
      <c r="F122" s="4">
        <f t="shared" si="7"/>
        <v>0</v>
      </c>
      <c r="G122" s="4">
        <f t="shared" si="8"/>
        <v>0</v>
      </c>
      <c r="H122" s="4" t="str">
        <f>IFERROR(__xludf.DUMMYFUNCTION("IF(C122="""","""", GOOGLETRANSLATE(C122, ""auto"", ""en""))"),"Comedy Meher")</f>
        <v>Comedy Meher</v>
      </c>
    </row>
    <row r="123" ht="15.75" customHeight="1">
      <c r="A123" s="4">
        <v>28.0</v>
      </c>
      <c r="B123" s="4">
        <v>4.0</v>
      </c>
      <c r="C123" s="6" t="s">
        <v>115</v>
      </c>
      <c r="D123" s="4">
        <v>0.0</v>
      </c>
      <c r="E123" s="4"/>
      <c r="F123" s="4">
        <f t="shared" si="7"/>
        <v>0</v>
      </c>
      <c r="G123" s="4">
        <f t="shared" si="8"/>
        <v>0</v>
      </c>
      <c r="H123" s="4" t="str">
        <f>IFERROR(__xludf.DUMMYFUNCTION("IF(C123="""","""", GOOGLETRANSLATE(C123, ""auto"", ""en""))"),"Vivan Pagdhare")</f>
        <v>Vivan Pagdhare</v>
      </c>
    </row>
    <row r="124" ht="15.75" customHeight="1">
      <c r="A124" s="4">
        <v>28.0</v>
      </c>
      <c r="B124" s="4">
        <v>5.0</v>
      </c>
      <c r="C124" s="6" t="s">
        <v>84</v>
      </c>
      <c r="D124" s="4">
        <v>350.0</v>
      </c>
      <c r="E124" s="4" t="s">
        <v>4</v>
      </c>
      <c r="F124" s="4">
        <f t="shared" si="7"/>
        <v>350</v>
      </c>
      <c r="G124" s="4">
        <f t="shared" si="8"/>
        <v>0</v>
      </c>
      <c r="H124" s="4" t="str">
        <f>IFERROR(__xludf.DUMMYFUNCTION("IF(C124="""","""", GOOGLETRANSLATE(C124, ""auto"", ""en""))"),"Soham Arekar")</f>
        <v>Soham Arekar</v>
      </c>
    </row>
    <row r="125" ht="15.75" customHeight="1">
      <c r="A125" s="4">
        <v>26.0</v>
      </c>
      <c r="B125" s="4">
        <v>1.0</v>
      </c>
      <c r="C125" s="4" t="s">
        <v>30</v>
      </c>
      <c r="D125" s="4">
        <v>0.0</v>
      </c>
      <c r="E125" s="4"/>
      <c r="F125" s="4">
        <f t="shared" si="7"/>
        <v>0</v>
      </c>
      <c r="G125" s="4">
        <f t="shared" si="8"/>
        <v>0</v>
      </c>
      <c r="H125" s="4" t="str">
        <f>IFERROR(__xludf.DUMMYFUNCTION("IF(C125="""","""", GOOGLETRANSLATE(C125, ""auto"", ""en""))"),"God")</f>
        <v>God</v>
      </c>
    </row>
    <row r="126" ht="15.75" customHeight="1">
      <c r="A126" s="7">
        <v>26.0</v>
      </c>
      <c r="B126" s="7">
        <v>2.0</v>
      </c>
      <c r="C126" s="8" t="s">
        <v>57</v>
      </c>
      <c r="D126" s="8">
        <v>200.0</v>
      </c>
      <c r="E126" s="7" t="s">
        <v>5</v>
      </c>
      <c r="F126" s="7">
        <f t="shared" si="7"/>
        <v>0</v>
      </c>
      <c r="G126" s="7">
        <f t="shared" si="8"/>
        <v>200</v>
      </c>
      <c r="H126" s="4" t="str">
        <f>IFERROR(__xludf.DUMMYFUNCTION("IF(C126="""","""", GOOGLETRANSLATE(C126, ""auto"", ""en""))"),"Nitesh Choudhary")</f>
        <v>Nitesh Choudhary</v>
      </c>
    </row>
    <row r="127" ht="15.75" customHeight="1">
      <c r="A127" s="4">
        <v>26.0</v>
      </c>
      <c r="B127" s="4">
        <v>3.0</v>
      </c>
      <c r="C127" s="6" t="s">
        <v>116</v>
      </c>
      <c r="D127" s="6">
        <v>200.0</v>
      </c>
      <c r="E127" s="4" t="s">
        <v>4</v>
      </c>
      <c r="F127" s="4">
        <f t="shared" si="7"/>
        <v>200</v>
      </c>
      <c r="G127" s="4">
        <f t="shared" si="8"/>
        <v>0</v>
      </c>
      <c r="H127" s="4" t="str">
        <f>IFERROR(__xludf.DUMMYFUNCTION("IF(C127="""","""", GOOGLETRANSLATE(C127, ""auto"", ""en""))"),"action")</f>
        <v>action</v>
      </c>
    </row>
    <row r="128" ht="15.75" customHeight="1">
      <c r="A128" s="4">
        <v>24.0</v>
      </c>
      <c r="B128" s="4">
        <v>1.0</v>
      </c>
      <c r="C128" s="6" t="s">
        <v>117</v>
      </c>
      <c r="D128" s="4">
        <v>200.0</v>
      </c>
      <c r="E128" s="4" t="s">
        <v>4</v>
      </c>
      <c r="F128" s="4">
        <f t="shared" si="7"/>
        <v>200</v>
      </c>
      <c r="G128" s="4">
        <f t="shared" si="8"/>
        <v>0</v>
      </c>
      <c r="H128" s="4" t="str">
        <f>IFERROR(__xludf.DUMMYFUNCTION("IF(C128="""","""", GOOGLETRANSLATE(C128, ""auto"", ""en""))"),"Tanish Raut")</f>
        <v>Tanish Raut</v>
      </c>
    </row>
    <row r="129" ht="15.75" customHeight="1">
      <c r="A129" s="7">
        <v>24.0</v>
      </c>
      <c r="B129" s="7">
        <v>2.0</v>
      </c>
      <c r="C129" s="7" t="s">
        <v>56</v>
      </c>
      <c r="D129" s="7">
        <v>200.0</v>
      </c>
      <c r="E129" s="7" t="s">
        <v>5</v>
      </c>
      <c r="F129" s="7">
        <f t="shared" si="7"/>
        <v>0</v>
      </c>
      <c r="G129" s="7">
        <f t="shared" si="8"/>
        <v>200</v>
      </c>
      <c r="H129" s="4" t="str">
        <f>IFERROR(__xludf.DUMMYFUNCTION("IF(C129="""","""", GOOGLETRANSLATE(C129, ""auto"", ""en""))"),"Bhavesh Meher")</f>
        <v>Bhavesh Meher</v>
      </c>
    </row>
    <row r="130" ht="15.75" customHeight="1">
      <c r="A130" s="7">
        <v>24.0</v>
      </c>
      <c r="B130" s="7">
        <v>3.0</v>
      </c>
      <c r="C130" s="8" t="s">
        <v>57</v>
      </c>
      <c r="D130" s="8">
        <v>200.0</v>
      </c>
      <c r="E130" s="7" t="s">
        <v>5</v>
      </c>
      <c r="F130" s="7">
        <f t="shared" si="7"/>
        <v>0</v>
      </c>
      <c r="G130" s="7">
        <f t="shared" si="8"/>
        <v>200</v>
      </c>
      <c r="H130" s="4" t="str">
        <f>IFERROR(__xludf.DUMMYFUNCTION("IF(C130="""","""", GOOGLETRANSLATE(C130, ""auto"", ""en""))"),"Nitesh Choudhary")</f>
        <v>Nitesh Choudhary</v>
      </c>
    </row>
    <row r="131" ht="15.75" customHeight="1">
      <c r="A131" s="4">
        <v>24.0</v>
      </c>
      <c r="B131" s="4">
        <v>4.0</v>
      </c>
      <c r="C131" s="6" t="s">
        <v>118</v>
      </c>
      <c r="D131" s="4">
        <v>100.0</v>
      </c>
      <c r="E131" s="4" t="s">
        <v>4</v>
      </c>
      <c r="F131" s="4">
        <f t="shared" si="7"/>
        <v>100</v>
      </c>
      <c r="G131" s="4">
        <f t="shared" si="8"/>
        <v>0</v>
      </c>
      <c r="H131" s="4" t="str">
        <f>IFERROR(__xludf.DUMMYFUNCTION("IF(C131="""","""", GOOGLETRANSLATE(C131, ""auto"", ""en""))"),"Grantha Naik")</f>
        <v>Grantha Naik</v>
      </c>
    </row>
    <row r="132" ht="15.75" customHeight="1">
      <c r="A132" s="4">
        <v>24.0</v>
      </c>
      <c r="B132" s="4">
        <v>5.0</v>
      </c>
      <c r="C132" s="6" t="s">
        <v>33</v>
      </c>
      <c r="D132" s="4">
        <v>0.0</v>
      </c>
      <c r="E132" s="4"/>
      <c r="F132" s="4">
        <f t="shared" si="7"/>
        <v>0</v>
      </c>
      <c r="G132" s="4">
        <f t="shared" si="8"/>
        <v>0</v>
      </c>
      <c r="H132" s="4" t="str">
        <f>IFERROR(__xludf.DUMMYFUNCTION("IF(C132="""","""", GOOGLETRANSLATE(C132, ""auto"", ""en""))"),"Ocean drowning")</f>
        <v>Ocean drowning</v>
      </c>
    </row>
    <row r="133" ht="15.75" customHeight="1">
      <c r="A133" s="4">
        <v>24.0</v>
      </c>
      <c r="B133" s="4">
        <v>6.0</v>
      </c>
      <c r="C133" s="6" t="s">
        <v>119</v>
      </c>
      <c r="D133" s="4">
        <v>0.0</v>
      </c>
      <c r="E133" s="4"/>
      <c r="F133" s="4">
        <f t="shared" si="7"/>
        <v>0</v>
      </c>
      <c r="G133" s="4">
        <f t="shared" si="8"/>
        <v>0</v>
      </c>
      <c r="H133" s="4" t="str">
        <f>IFERROR(__xludf.DUMMYFUNCTION("IF(C133="""","""", GOOGLETRANSLATE(C133, ""auto"", ""en""))"),"Aksha Choudhary")</f>
        <v>Aksha Choudhary</v>
      </c>
    </row>
    <row r="134" ht="15.75" customHeight="1">
      <c r="A134" s="4">
        <v>24.0</v>
      </c>
      <c r="B134" s="4">
        <v>7.0</v>
      </c>
      <c r="C134" s="6" t="s">
        <v>120</v>
      </c>
      <c r="D134" s="6">
        <v>200.0</v>
      </c>
      <c r="E134" s="6" t="s">
        <v>4</v>
      </c>
      <c r="F134" s="4">
        <f t="shared" si="7"/>
        <v>200</v>
      </c>
      <c r="G134" s="4">
        <f t="shared" si="8"/>
        <v>0</v>
      </c>
      <c r="H134" s="4" t="str">
        <f>IFERROR(__xludf.DUMMYFUNCTION("IF(C134="""","""", GOOGLETRANSLATE(C134, ""auto"", ""en""))"),"Vedant Patil")</f>
        <v>Vedant Patil</v>
      </c>
    </row>
    <row r="135" ht="15.75" customHeight="1">
      <c r="A135" s="7">
        <v>24.0</v>
      </c>
      <c r="B135" s="7">
        <v>8.0</v>
      </c>
      <c r="C135" s="8" t="s">
        <v>17</v>
      </c>
      <c r="D135" s="8">
        <v>350.0</v>
      </c>
      <c r="E135" s="8" t="s">
        <v>5</v>
      </c>
      <c r="F135" s="7">
        <f t="shared" si="7"/>
        <v>0</v>
      </c>
      <c r="G135" s="7">
        <f t="shared" si="8"/>
        <v>350</v>
      </c>
      <c r="H135" s="4" t="str">
        <f>IFERROR(__xludf.DUMMYFUNCTION("IF(C135="""","""", GOOGLETRANSLATE(C135, ""auto"", ""en""))"),"Bhavnesh Meher")</f>
        <v>Bhavnesh Meher</v>
      </c>
    </row>
    <row r="136" ht="15.75" customHeight="1">
      <c r="A136" s="7">
        <v>24.0</v>
      </c>
      <c r="B136" s="7">
        <v>9.0</v>
      </c>
      <c r="C136" s="8" t="s">
        <v>121</v>
      </c>
      <c r="D136" s="7">
        <v>200.0</v>
      </c>
      <c r="E136" s="7" t="s">
        <v>5</v>
      </c>
      <c r="F136" s="7">
        <f t="shared" si="7"/>
        <v>0</v>
      </c>
      <c r="G136" s="7">
        <f t="shared" si="8"/>
        <v>200</v>
      </c>
      <c r="H136" s="4" t="str">
        <f>IFERROR(__xludf.DUMMYFUNCTION("IF(C136="""","""", GOOGLETRANSLATE(C136, ""auto"", ""en""))"),"Vriha Chowdhury")</f>
        <v>Vriha Chowdhury</v>
      </c>
    </row>
    <row r="137" ht="15.75" customHeight="1">
      <c r="A137" s="7">
        <v>24.0</v>
      </c>
      <c r="B137" s="7">
        <v>10.0</v>
      </c>
      <c r="C137" s="8" t="s">
        <v>38</v>
      </c>
      <c r="D137" s="8">
        <v>250.0</v>
      </c>
      <c r="E137" s="8" t="s">
        <v>5</v>
      </c>
      <c r="F137" s="7">
        <f t="shared" si="7"/>
        <v>0</v>
      </c>
      <c r="G137" s="7">
        <f t="shared" si="8"/>
        <v>250</v>
      </c>
      <c r="H137" s="4" t="str">
        <f>IFERROR(__xludf.DUMMYFUNCTION("IF(C137="""","""", GOOGLETRANSLATE(C137, ""auto"", ""en""))"),"Vaibhav Raut")</f>
        <v>Vaibhav Raut</v>
      </c>
    </row>
    <row r="138" ht="15.75" customHeight="1">
      <c r="A138" s="7">
        <v>22.0</v>
      </c>
      <c r="B138" s="7">
        <v>1.0</v>
      </c>
      <c r="C138" s="8" t="s">
        <v>122</v>
      </c>
      <c r="D138" s="7">
        <v>350.0</v>
      </c>
      <c r="E138" s="7" t="s">
        <v>5</v>
      </c>
      <c r="F138" s="7">
        <f t="shared" si="7"/>
        <v>0</v>
      </c>
      <c r="G138" s="7">
        <f t="shared" si="8"/>
        <v>350</v>
      </c>
      <c r="H138" s="4" t="str">
        <f>IFERROR(__xludf.DUMMYFUNCTION("IF(C138="""","""", GOOGLETRANSLATE(C138, ""auto"", ""en""))"),"Shrisha Chaudhary")</f>
        <v>Shrisha Chaudhary</v>
      </c>
    </row>
    <row r="139" ht="15.75" customHeight="1">
      <c r="A139" s="4">
        <v>22.0</v>
      </c>
      <c r="B139" s="4">
        <v>2.0</v>
      </c>
      <c r="C139" s="9" t="s">
        <v>91</v>
      </c>
      <c r="D139" s="10">
        <v>0.0</v>
      </c>
      <c r="E139" s="11" t="s">
        <v>12</v>
      </c>
      <c r="F139" s="12">
        <f>IF(E139="Cash", D139, 0)</f>
        <v>0</v>
      </c>
      <c r="G139" s="12">
        <f>IF(E139="GPay", D139, 0)</f>
        <v>0</v>
      </c>
    </row>
    <row r="140" ht="15.75" customHeight="1">
      <c r="A140" s="7">
        <v>22.0</v>
      </c>
      <c r="B140" s="7">
        <v>3.0</v>
      </c>
      <c r="C140" s="8" t="s">
        <v>123</v>
      </c>
      <c r="D140" s="7">
        <v>200.0</v>
      </c>
      <c r="E140" s="7" t="s">
        <v>5</v>
      </c>
      <c r="F140" s="7">
        <f t="shared" ref="F140:F149" si="9">IF(E140="Cash", D140, 0)</f>
        <v>0</v>
      </c>
      <c r="G140" s="7">
        <f t="shared" ref="G140:G149" si="10">IF(E140="GPay", D140, 0)</f>
        <v>200</v>
      </c>
      <c r="H140" s="4" t="str">
        <f>IFERROR(__xludf.DUMMYFUNCTION("IF(C140="""","""", GOOGLETRANSLATE(C140, ""auto"", ""en""))"),"Tushar Naik ")</f>
        <v>Tushar Naik </v>
      </c>
    </row>
    <row r="141" ht="15.75" customHeight="1">
      <c r="A141" s="4">
        <v>22.0</v>
      </c>
      <c r="B141" s="4">
        <v>4.0</v>
      </c>
      <c r="C141" s="6" t="s">
        <v>124</v>
      </c>
      <c r="D141" s="4">
        <v>350.0</v>
      </c>
      <c r="E141" s="4" t="s">
        <v>4</v>
      </c>
      <c r="F141" s="4">
        <f t="shared" si="9"/>
        <v>350</v>
      </c>
      <c r="G141" s="4">
        <f t="shared" si="10"/>
        <v>0</v>
      </c>
      <c r="H141" s="4" t="str">
        <f>IFERROR(__xludf.DUMMYFUNCTION("IF(C141="""","""", GOOGLETRANSLATE(C141, ""auto"", ""en""))"),"Jeevesh Meher")</f>
        <v>Jeevesh Meher</v>
      </c>
    </row>
    <row r="142" ht="15.75" customHeight="1">
      <c r="A142" s="4">
        <v>22.0</v>
      </c>
      <c r="B142" s="4">
        <v>5.0</v>
      </c>
      <c r="C142" s="6" t="s">
        <v>125</v>
      </c>
      <c r="D142" s="4">
        <v>100.0</v>
      </c>
      <c r="E142" s="4" t="s">
        <v>4</v>
      </c>
      <c r="F142" s="4">
        <f t="shared" si="9"/>
        <v>100</v>
      </c>
      <c r="G142" s="4">
        <f t="shared" si="10"/>
        <v>0</v>
      </c>
      <c r="H142" s="4" t="str">
        <f>IFERROR(__xludf.DUMMYFUNCTION("IF(C142="""","""", GOOGLETRANSLATE(C142, ""auto"", ""en""))"),"Daksh Patil")</f>
        <v>Daksh Patil</v>
      </c>
    </row>
    <row r="143" ht="15.75" customHeight="1">
      <c r="A143" s="7">
        <v>22.0</v>
      </c>
      <c r="B143" s="7">
        <v>6.0</v>
      </c>
      <c r="C143" s="7" t="s">
        <v>56</v>
      </c>
      <c r="D143" s="7">
        <v>100.0</v>
      </c>
      <c r="E143" s="7" t="s">
        <v>5</v>
      </c>
      <c r="F143" s="7">
        <f t="shared" si="9"/>
        <v>0</v>
      </c>
      <c r="G143" s="7">
        <f t="shared" si="10"/>
        <v>100</v>
      </c>
      <c r="H143" s="4" t="str">
        <f>IFERROR(__xludf.DUMMYFUNCTION("IF(C143="""","""", GOOGLETRANSLATE(C143, ""auto"", ""en""))"),"Bhavesh Meher")</f>
        <v>Bhavesh Meher</v>
      </c>
    </row>
    <row r="144" ht="15.75" customHeight="1">
      <c r="A144" s="4">
        <v>22.0</v>
      </c>
      <c r="B144" s="4">
        <v>7.0</v>
      </c>
      <c r="C144" s="6" t="s">
        <v>126</v>
      </c>
      <c r="D144" s="4">
        <v>0.0</v>
      </c>
      <c r="E144" s="4"/>
      <c r="F144" s="4">
        <f t="shared" si="9"/>
        <v>0</v>
      </c>
      <c r="G144" s="4">
        <f t="shared" si="10"/>
        <v>0</v>
      </c>
      <c r="H144" s="4" t="str">
        <f>IFERROR(__xludf.DUMMYFUNCTION("IF(C144="""","""", GOOGLETRANSLATE(C144, ""auto"", ""en""))"),"Rohit Tandel")</f>
        <v>Rohit Tandel</v>
      </c>
    </row>
    <row r="145" ht="15.75" customHeight="1">
      <c r="A145" s="4">
        <v>20.0</v>
      </c>
      <c r="B145" s="4">
        <v>1.0</v>
      </c>
      <c r="C145" s="6" t="s">
        <v>71</v>
      </c>
      <c r="D145" s="4">
        <v>0.0</v>
      </c>
      <c r="E145" s="4"/>
      <c r="F145" s="4">
        <f t="shared" si="9"/>
        <v>0</v>
      </c>
      <c r="G145" s="4">
        <f t="shared" si="10"/>
        <v>0</v>
      </c>
      <c r="H145" s="4" t="str">
        <f>IFERROR(__xludf.DUMMYFUNCTION("IF(C145="""","""", GOOGLETRANSLATE(C145, ""auto"", ""en""))"),"Pratik Choudhary")</f>
        <v>Pratik Choudhary</v>
      </c>
    </row>
    <row r="146" ht="15.75" customHeight="1">
      <c r="A146" s="4">
        <v>20.0</v>
      </c>
      <c r="B146" s="4">
        <v>2.0</v>
      </c>
      <c r="C146" s="6" t="s">
        <v>127</v>
      </c>
      <c r="D146" s="4">
        <v>0.0</v>
      </c>
      <c r="E146" s="4"/>
      <c r="F146" s="4">
        <f t="shared" si="9"/>
        <v>0</v>
      </c>
      <c r="G146" s="4">
        <f t="shared" si="10"/>
        <v>0</v>
      </c>
      <c r="H146" s="4" t="str">
        <f>IFERROR(__xludf.DUMMYFUNCTION("IF(C146="""","""", GOOGLETRANSLATE(C146, ""auto"", ""en""))"),"Month Kenny")</f>
        <v>Month Kenny</v>
      </c>
    </row>
    <row r="147" ht="15.75" customHeight="1">
      <c r="A147" s="7">
        <v>20.0</v>
      </c>
      <c r="B147" s="7">
        <v>3.0</v>
      </c>
      <c r="C147" s="8" t="s">
        <v>91</v>
      </c>
      <c r="D147" s="8">
        <v>350.0</v>
      </c>
      <c r="E147" s="7" t="s">
        <v>5</v>
      </c>
      <c r="F147" s="7">
        <f t="shared" si="9"/>
        <v>0</v>
      </c>
      <c r="G147" s="7">
        <f t="shared" si="10"/>
        <v>350</v>
      </c>
    </row>
    <row r="148" ht="15.75" customHeight="1">
      <c r="A148" s="7">
        <v>20.0</v>
      </c>
      <c r="B148" s="7">
        <v>4.0</v>
      </c>
      <c r="C148" s="8" t="s">
        <v>57</v>
      </c>
      <c r="D148" s="8">
        <v>200.0</v>
      </c>
      <c r="E148" s="7" t="s">
        <v>5</v>
      </c>
      <c r="F148" s="7">
        <f t="shared" si="9"/>
        <v>0</v>
      </c>
      <c r="G148" s="7">
        <f t="shared" si="10"/>
        <v>200</v>
      </c>
      <c r="H148" s="4" t="str">
        <f>IFERROR(__xludf.DUMMYFUNCTION("IF(C148="""","""", GOOGLETRANSLATE(C148, ""auto"", ""en""))"),"Nitesh Choudhary")</f>
        <v>Nitesh Choudhary</v>
      </c>
    </row>
    <row r="149" ht="15.75" customHeight="1">
      <c r="A149" s="7">
        <v>20.0</v>
      </c>
      <c r="B149" s="7">
        <v>5.0</v>
      </c>
      <c r="C149" s="7" t="s">
        <v>34</v>
      </c>
      <c r="D149" s="7">
        <v>350.0</v>
      </c>
      <c r="E149" s="7" t="s">
        <v>5</v>
      </c>
      <c r="F149" s="7">
        <f t="shared" si="9"/>
        <v>0</v>
      </c>
      <c r="G149" s="7">
        <f t="shared" si="10"/>
        <v>350</v>
      </c>
      <c r="H149" s="4" t="str">
        <f>IFERROR(__xludf.DUMMYFUNCTION("IF(C149="""","""", GOOGLETRANSLATE(C149, ""auto"", ""en""))"),"System Patil")</f>
        <v>System Patil</v>
      </c>
    </row>
    <row r="150" ht="15.75" customHeight="1">
      <c r="B150" s="4" t="s">
        <v>128</v>
      </c>
    </row>
    <row r="151" ht="15.75" customHeight="1">
      <c r="B151" s="4" t="s">
        <v>128</v>
      </c>
    </row>
    <row r="152" ht="15.75" customHeight="1">
      <c r="B152" s="4" t="s">
        <v>128</v>
      </c>
    </row>
    <row r="153" ht="15.75" customHeight="1">
      <c r="B153" s="4" t="s">
        <v>128</v>
      </c>
    </row>
    <row r="154" ht="15.75" customHeight="1">
      <c r="B154" s="4" t="s">
        <v>128</v>
      </c>
    </row>
    <row r="155" ht="15.75" customHeight="1">
      <c r="B155" s="4" t="s">
        <v>128</v>
      </c>
    </row>
    <row r="156" ht="15.75" customHeight="1">
      <c r="B156" s="4" t="s">
        <v>128</v>
      </c>
    </row>
    <row r="157" ht="15.75" customHeight="1">
      <c r="B157" s="4" t="s">
        <v>128</v>
      </c>
    </row>
    <row r="158" ht="15.75" customHeight="1">
      <c r="B158" s="4" t="s">
        <v>128</v>
      </c>
    </row>
    <row r="159" ht="15.75" customHeight="1">
      <c r="B159" s="4" t="s">
        <v>128</v>
      </c>
    </row>
    <row r="160" ht="15.75" customHeight="1">
      <c r="B160" s="4" t="s">
        <v>128</v>
      </c>
    </row>
    <row r="161" ht="15.75" customHeight="1">
      <c r="B161" s="4" t="s">
        <v>128</v>
      </c>
    </row>
    <row r="162" ht="15.75" customHeight="1">
      <c r="B162" s="4" t="s">
        <v>128</v>
      </c>
    </row>
    <row r="163" ht="15.75" customHeight="1">
      <c r="B163" s="4" t="s">
        <v>128</v>
      </c>
    </row>
    <row r="164" ht="15.75" customHeight="1">
      <c r="B164" s="4" t="s">
        <v>128</v>
      </c>
    </row>
    <row r="165" ht="15.75" customHeight="1">
      <c r="B165" s="4" t="s">
        <v>128</v>
      </c>
    </row>
    <row r="166" ht="15.75" customHeight="1">
      <c r="B166" s="4" t="s">
        <v>128</v>
      </c>
    </row>
    <row r="167" ht="15.75" customHeight="1">
      <c r="B167" s="4" t="s">
        <v>128</v>
      </c>
    </row>
    <row r="168" ht="15.75" customHeight="1">
      <c r="B168" s="4" t="s">
        <v>128</v>
      </c>
    </row>
    <row r="169" ht="15.75" customHeight="1">
      <c r="B169" s="4" t="s">
        <v>128</v>
      </c>
    </row>
    <row r="170" ht="15.75" customHeight="1">
      <c r="B170" s="4" t="s">
        <v>128</v>
      </c>
    </row>
    <row r="171" ht="15.75" customHeight="1">
      <c r="B171" s="4" t="s">
        <v>128</v>
      </c>
    </row>
    <row r="172" ht="15.75" customHeight="1">
      <c r="B172" s="4" t="s">
        <v>128</v>
      </c>
    </row>
    <row r="173" ht="15.75" customHeight="1">
      <c r="B173" s="4" t="s">
        <v>128</v>
      </c>
    </row>
    <row r="174" ht="15.75" customHeight="1">
      <c r="B174" s="4" t="s">
        <v>128</v>
      </c>
    </row>
    <row r="175" ht="15.75" customHeight="1">
      <c r="B175" s="4" t="s">
        <v>128</v>
      </c>
    </row>
    <row r="176" ht="15.75" customHeight="1">
      <c r="B176" s="4" t="s">
        <v>128</v>
      </c>
    </row>
    <row r="177" ht="15.75" customHeight="1">
      <c r="B177" s="4" t="s">
        <v>128</v>
      </c>
    </row>
    <row r="178" ht="15.75" customHeight="1">
      <c r="B178" s="4" t="s">
        <v>128</v>
      </c>
    </row>
    <row r="179" ht="15.75" customHeight="1">
      <c r="B179" s="4" t="s">
        <v>128</v>
      </c>
    </row>
    <row r="180" ht="15.75" customHeight="1">
      <c r="B180" s="4" t="s">
        <v>128</v>
      </c>
    </row>
    <row r="181" ht="15.75" customHeight="1">
      <c r="B181" s="4" t="s">
        <v>128</v>
      </c>
    </row>
    <row r="182" ht="15.75" customHeight="1">
      <c r="B182" s="4" t="s">
        <v>128</v>
      </c>
    </row>
    <row r="183" ht="15.75" customHeight="1">
      <c r="B183" s="4" t="s">
        <v>128</v>
      </c>
    </row>
    <row r="184" ht="15.75" customHeight="1">
      <c r="B184" s="4" t="s">
        <v>128</v>
      </c>
    </row>
    <row r="185" ht="15.75" customHeight="1">
      <c r="B185" s="4" t="s">
        <v>128</v>
      </c>
    </row>
    <row r="186" ht="15.75" customHeight="1">
      <c r="B186" s="4" t="s">
        <v>128</v>
      </c>
    </row>
    <row r="187" ht="15.75" customHeight="1">
      <c r="B187" s="4" t="s">
        <v>128</v>
      </c>
    </row>
    <row r="188" ht="15.75" customHeight="1">
      <c r="B188" s="4" t="s">
        <v>128</v>
      </c>
    </row>
    <row r="189" ht="15.75" customHeight="1">
      <c r="B189" s="4" t="s">
        <v>128</v>
      </c>
    </row>
    <row r="190" ht="15.75" customHeight="1">
      <c r="B190" s="4" t="s">
        <v>128</v>
      </c>
    </row>
    <row r="191" ht="15.75" customHeight="1">
      <c r="B191" s="4" t="s">
        <v>128</v>
      </c>
    </row>
    <row r="192" ht="15.75" customHeight="1">
      <c r="B192" s="4" t="s">
        <v>128</v>
      </c>
    </row>
    <row r="193" ht="15.75" customHeight="1">
      <c r="B193" s="4" t="s">
        <v>128</v>
      </c>
    </row>
    <row r="194" ht="15.75" customHeight="1">
      <c r="B194" s="4" t="s">
        <v>128</v>
      </c>
    </row>
    <row r="195" ht="15.75" customHeight="1">
      <c r="B195" s="4" t="s">
        <v>128</v>
      </c>
    </row>
    <row r="196" ht="15.75" customHeight="1">
      <c r="B196" s="4" t="s">
        <v>128</v>
      </c>
    </row>
    <row r="197" ht="15.75" customHeight="1">
      <c r="B197" s="4" t="s">
        <v>128</v>
      </c>
    </row>
    <row r="198" ht="15.75" customHeight="1">
      <c r="B198" s="4" t="s">
        <v>128</v>
      </c>
    </row>
    <row r="199" ht="15.75" customHeight="1">
      <c r="B199" s="4" t="s">
        <v>128</v>
      </c>
    </row>
    <row r="200" ht="15.75" customHeight="1">
      <c r="B200" s="4" t="s">
        <v>128</v>
      </c>
    </row>
    <row r="201" ht="15.75" customHeight="1">
      <c r="B201" s="4" t="s">
        <v>128</v>
      </c>
    </row>
    <row r="202" ht="15.75" customHeight="1">
      <c r="B202" s="4" t="s">
        <v>128</v>
      </c>
    </row>
    <row r="203" ht="15.75" customHeight="1">
      <c r="B203" s="4" t="s">
        <v>128</v>
      </c>
    </row>
    <row r="204" ht="15.75" customHeight="1">
      <c r="B204" s="4" t="s">
        <v>128</v>
      </c>
    </row>
    <row r="205" ht="15.75" customHeight="1">
      <c r="B205" s="4" t="s">
        <v>128</v>
      </c>
    </row>
    <row r="206" ht="15.75" customHeight="1">
      <c r="B206" s="4" t="s">
        <v>128</v>
      </c>
    </row>
    <row r="207" ht="15.75" customHeight="1">
      <c r="B207" s="4" t="s">
        <v>128</v>
      </c>
    </row>
    <row r="208" ht="15.75" customHeight="1">
      <c r="B208" s="4" t="s">
        <v>128</v>
      </c>
    </row>
    <row r="209" ht="15.75" customHeight="1">
      <c r="B209" s="4" t="s">
        <v>128</v>
      </c>
    </row>
    <row r="210" ht="15.75" customHeight="1">
      <c r="B210" s="4" t="s">
        <v>128</v>
      </c>
    </row>
    <row r="211" ht="15.75" customHeight="1">
      <c r="B211" s="4" t="s">
        <v>128</v>
      </c>
    </row>
    <row r="212" ht="15.75" customHeight="1">
      <c r="B212" s="4" t="s">
        <v>128</v>
      </c>
    </row>
    <row r="213" ht="15.75" customHeight="1">
      <c r="B213" s="4" t="s">
        <v>128</v>
      </c>
    </row>
    <row r="214" ht="15.75" customHeight="1">
      <c r="B214" s="4" t="s">
        <v>128</v>
      </c>
    </row>
    <row r="215" ht="15.75" customHeight="1">
      <c r="B215" s="4" t="s">
        <v>128</v>
      </c>
    </row>
    <row r="216" ht="15.75" customHeight="1">
      <c r="B216" s="4" t="s">
        <v>128</v>
      </c>
    </row>
    <row r="217" ht="15.75" customHeight="1">
      <c r="B217" s="4" t="s">
        <v>128</v>
      </c>
    </row>
    <row r="218" ht="15.75" customHeight="1">
      <c r="B218" s="4" t="s">
        <v>128</v>
      </c>
    </row>
    <row r="219" ht="15.75" customHeight="1">
      <c r="B219" s="4" t="s">
        <v>128</v>
      </c>
    </row>
    <row r="220" ht="15.75" customHeight="1">
      <c r="B220" s="4" t="s">
        <v>128</v>
      </c>
    </row>
    <row r="221" ht="15.75" customHeight="1">
      <c r="B221" s="4" t="s">
        <v>128</v>
      </c>
    </row>
    <row r="222" ht="15.75" customHeight="1">
      <c r="B222" s="4" t="s">
        <v>128</v>
      </c>
    </row>
    <row r="223" ht="15.75" customHeight="1">
      <c r="B223" s="4" t="s">
        <v>128</v>
      </c>
    </row>
    <row r="224" ht="15.75" customHeight="1">
      <c r="B224" s="4" t="s">
        <v>128</v>
      </c>
    </row>
    <row r="225" ht="15.75" customHeight="1">
      <c r="B225" s="4" t="s">
        <v>128</v>
      </c>
    </row>
    <row r="226" ht="15.75" customHeight="1">
      <c r="B226" s="4" t="s">
        <v>128</v>
      </c>
    </row>
    <row r="227" ht="15.75" customHeight="1">
      <c r="B227" s="4" t="s">
        <v>128</v>
      </c>
    </row>
    <row r="228" ht="15.75" customHeight="1">
      <c r="B228" s="4" t="s">
        <v>128</v>
      </c>
    </row>
    <row r="229" ht="15.75" customHeight="1">
      <c r="B229" s="4" t="s">
        <v>128</v>
      </c>
    </row>
    <row r="230" ht="15.75" customHeight="1">
      <c r="B230" s="4" t="s">
        <v>128</v>
      </c>
    </row>
    <row r="231" ht="15.75" customHeight="1">
      <c r="B231" s="4" t="s">
        <v>128</v>
      </c>
    </row>
    <row r="232" ht="15.75" customHeight="1">
      <c r="B232" s="4" t="s">
        <v>128</v>
      </c>
    </row>
    <row r="233" ht="15.75" customHeight="1">
      <c r="B233" s="4" t="s">
        <v>128</v>
      </c>
    </row>
    <row r="234" ht="15.75" customHeight="1">
      <c r="B234" s="4" t="s">
        <v>128</v>
      </c>
    </row>
    <row r="235" ht="15.75" customHeight="1">
      <c r="B235" s="4" t="s">
        <v>128</v>
      </c>
    </row>
    <row r="236" ht="15.75" customHeight="1">
      <c r="B236" s="4" t="s">
        <v>128</v>
      </c>
    </row>
    <row r="237" ht="15.75" customHeight="1">
      <c r="B237" s="4" t="s">
        <v>128</v>
      </c>
    </row>
    <row r="238" ht="15.75" customHeight="1">
      <c r="B238" s="4" t="s">
        <v>128</v>
      </c>
    </row>
    <row r="239" ht="15.75" customHeight="1">
      <c r="B239" s="4" t="s">
        <v>128</v>
      </c>
    </row>
    <row r="240" ht="15.75" customHeight="1">
      <c r="B240" s="4" t="s">
        <v>128</v>
      </c>
    </row>
    <row r="241" ht="15.75" customHeight="1">
      <c r="B241" s="4" t="s">
        <v>128</v>
      </c>
    </row>
    <row r="242" ht="15.75" customHeight="1">
      <c r="B242" s="4" t="s">
        <v>128</v>
      </c>
    </row>
    <row r="243" ht="15.75" customHeight="1">
      <c r="B243" s="4" t="s">
        <v>128</v>
      </c>
    </row>
    <row r="244" ht="15.75" customHeight="1">
      <c r="B244" s="4" t="s">
        <v>128</v>
      </c>
    </row>
    <row r="245" ht="15.75" customHeight="1">
      <c r="B245" s="4" t="s">
        <v>128</v>
      </c>
    </row>
    <row r="246" ht="15.75" customHeight="1">
      <c r="B246" s="4" t="s">
        <v>128</v>
      </c>
    </row>
    <row r="247" ht="15.75" customHeight="1">
      <c r="B247" s="4" t="s">
        <v>128</v>
      </c>
    </row>
    <row r="248" ht="15.75" customHeight="1">
      <c r="B248" s="4" t="s">
        <v>128</v>
      </c>
    </row>
    <row r="249" ht="15.75" customHeight="1">
      <c r="B249" s="4" t="s">
        <v>128</v>
      </c>
    </row>
    <row r="250" ht="15.75" customHeight="1">
      <c r="B250" s="4" t="s">
        <v>128</v>
      </c>
    </row>
    <row r="251" ht="15.75" customHeight="1">
      <c r="B251" s="4" t="s">
        <v>128</v>
      </c>
    </row>
    <row r="252" ht="15.75" customHeight="1">
      <c r="B252" s="4" t="s">
        <v>128</v>
      </c>
    </row>
    <row r="253" ht="15.75" customHeight="1">
      <c r="B253" s="4" t="s">
        <v>128</v>
      </c>
    </row>
    <row r="254" ht="15.75" customHeight="1">
      <c r="B254" s="4" t="s">
        <v>128</v>
      </c>
    </row>
    <row r="255" ht="15.75" customHeight="1">
      <c r="B255" s="4" t="s">
        <v>128</v>
      </c>
    </row>
    <row r="256" ht="15.75" customHeight="1">
      <c r="B256" s="4" t="s">
        <v>128</v>
      </c>
    </row>
    <row r="257" ht="15.75" customHeight="1">
      <c r="B257" s="4" t="s">
        <v>128</v>
      </c>
    </row>
    <row r="258" ht="15.75" customHeight="1">
      <c r="B258" s="4" t="s">
        <v>128</v>
      </c>
    </row>
    <row r="259" ht="15.75" customHeight="1">
      <c r="B259" s="4" t="s">
        <v>128</v>
      </c>
    </row>
    <row r="260" ht="15.75" customHeight="1">
      <c r="B260" s="4" t="s">
        <v>128</v>
      </c>
    </row>
    <row r="261" ht="15.75" customHeight="1">
      <c r="B261" s="4" t="s">
        <v>128</v>
      </c>
    </row>
    <row r="262" ht="15.75" customHeight="1">
      <c r="B262" s="4" t="s">
        <v>128</v>
      </c>
    </row>
    <row r="263" ht="15.75" customHeight="1">
      <c r="B263" s="4" t="s">
        <v>128</v>
      </c>
    </row>
    <row r="264" ht="15.75" customHeight="1">
      <c r="B264" s="4" t="s">
        <v>128</v>
      </c>
    </row>
    <row r="265" ht="15.75" customHeight="1">
      <c r="B265" s="4" t="s">
        <v>128</v>
      </c>
    </row>
    <row r="266" ht="15.75" customHeight="1">
      <c r="B266" s="4" t="s">
        <v>128</v>
      </c>
    </row>
    <row r="267" ht="15.75" customHeight="1">
      <c r="B267" s="4" t="s">
        <v>128</v>
      </c>
    </row>
    <row r="268" ht="15.75" customHeight="1">
      <c r="B268" s="4" t="s">
        <v>128</v>
      </c>
    </row>
    <row r="269" ht="15.75" customHeight="1">
      <c r="B269" s="4" t="s">
        <v>128</v>
      </c>
    </row>
    <row r="270" ht="15.75" customHeight="1">
      <c r="B270" s="4" t="s">
        <v>128</v>
      </c>
    </row>
    <row r="271" ht="15.75" customHeight="1">
      <c r="B271" s="4" t="s">
        <v>128</v>
      </c>
    </row>
    <row r="272" ht="15.75" customHeight="1">
      <c r="B272" s="4" t="s">
        <v>128</v>
      </c>
    </row>
    <row r="273" ht="15.75" customHeight="1">
      <c r="B273" s="4" t="s">
        <v>128</v>
      </c>
    </row>
    <row r="274" ht="15.75" customHeight="1">
      <c r="B274" s="4" t="s">
        <v>128</v>
      </c>
    </row>
    <row r="275" ht="15.75" customHeight="1">
      <c r="B275" s="4" t="s">
        <v>128</v>
      </c>
    </row>
    <row r="276" ht="15.75" customHeight="1">
      <c r="B276" s="4" t="s">
        <v>128</v>
      </c>
    </row>
    <row r="277" ht="15.75" customHeight="1">
      <c r="B277" s="4" t="s">
        <v>128</v>
      </c>
    </row>
    <row r="278" ht="15.75" customHeight="1">
      <c r="B278" s="4" t="s">
        <v>128</v>
      </c>
    </row>
    <row r="279" ht="15.75" customHeight="1">
      <c r="B279" s="4" t="s">
        <v>128</v>
      </c>
    </row>
    <row r="280" ht="15.75" customHeight="1">
      <c r="B280" s="4" t="s">
        <v>128</v>
      </c>
    </row>
    <row r="281" ht="15.75" customHeight="1">
      <c r="B281" s="4" t="s">
        <v>128</v>
      </c>
    </row>
    <row r="282" ht="15.75" customHeight="1">
      <c r="B282" s="4" t="s">
        <v>128</v>
      </c>
    </row>
    <row r="283" ht="15.75" customHeight="1">
      <c r="B283" s="4" t="s">
        <v>128</v>
      </c>
    </row>
    <row r="284" ht="15.75" customHeight="1">
      <c r="B284" s="4" t="s">
        <v>128</v>
      </c>
    </row>
    <row r="285" ht="15.75" customHeight="1">
      <c r="B285" s="4" t="s">
        <v>128</v>
      </c>
    </row>
    <row r="286" ht="15.75" customHeight="1">
      <c r="B286" s="4" t="s">
        <v>128</v>
      </c>
    </row>
    <row r="287" ht="15.75" customHeight="1">
      <c r="B287" s="4" t="s">
        <v>128</v>
      </c>
    </row>
    <row r="288" ht="15.75" customHeight="1">
      <c r="B288" s="4" t="s">
        <v>128</v>
      </c>
    </row>
    <row r="289" ht="15.75" customHeight="1">
      <c r="B289" s="4" t="s">
        <v>128</v>
      </c>
    </row>
    <row r="290" ht="15.75" customHeight="1">
      <c r="B290" s="4" t="s">
        <v>128</v>
      </c>
    </row>
    <row r="291" ht="15.75" customHeight="1">
      <c r="B291" s="4" t="s">
        <v>128</v>
      </c>
    </row>
    <row r="292" ht="15.75" customHeight="1">
      <c r="B292" s="4" t="s">
        <v>128</v>
      </c>
    </row>
    <row r="293" ht="15.75" customHeight="1">
      <c r="B293" s="4" t="s">
        <v>128</v>
      </c>
    </row>
    <row r="294" ht="15.75" customHeight="1">
      <c r="B294" s="4" t="s">
        <v>128</v>
      </c>
    </row>
    <row r="295" ht="15.75" customHeight="1">
      <c r="B295" s="4" t="s">
        <v>128</v>
      </c>
    </row>
    <row r="296" ht="15.75" customHeight="1">
      <c r="B296" s="4" t="s">
        <v>128</v>
      </c>
    </row>
    <row r="297" ht="15.75" customHeight="1">
      <c r="B297" s="4" t="s">
        <v>128</v>
      </c>
    </row>
    <row r="298" ht="15.75" customHeight="1">
      <c r="B298" s="4" t="s">
        <v>128</v>
      </c>
    </row>
    <row r="299" ht="15.75" customHeight="1">
      <c r="B299" s="4" t="s">
        <v>128</v>
      </c>
    </row>
    <row r="300" ht="15.75" customHeight="1">
      <c r="B300" s="4" t="s">
        <v>128</v>
      </c>
    </row>
    <row r="301" ht="15.75" customHeight="1">
      <c r="B301" s="4" t="s">
        <v>128</v>
      </c>
    </row>
    <row r="302" ht="15.75" customHeight="1">
      <c r="B302" s="4" t="s">
        <v>128</v>
      </c>
    </row>
    <row r="303" ht="15.75" customHeight="1">
      <c r="B303" s="4" t="s">
        <v>128</v>
      </c>
    </row>
    <row r="304" ht="15.75" customHeight="1">
      <c r="B304" s="4" t="s">
        <v>128</v>
      </c>
    </row>
    <row r="305" ht="15.75" customHeight="1">
      <c r="B305" s="4" t="s">
        <v>128</v>
      </c>
    </row>
    <row r="306" ht="15.75" customHeight="1">
      <c r="B306" s="4" t="s">
        <v>128</v>
      </c>
    </row>
    <row r="307" ht="15.75" customHeight="1">
      <c r="B307" s="4" t="s">
        <v>128</v>
      </c>
    </row>
    <row r="308" ht="15.75" customHeight="1">
      <c r="B308" s="4" t="s">
        <v>128</v>
      </c>
    </row>
    <row r="309" ht="15.75" customHeight="1">
      <c r="B309" s="4" t="s">
        <v>128</v>
      </c>
    </row>
    <row r="310" ht="15.75" customHeight="1">
      <c r="B310" s="4" t="s">
        <v>128</v>
      </c>
    </row>
    <row r="311" ht="15.75" customHeight="1">
      <c r="B311" s="4" t="s">
        <v>128</v>
      </c>
    </row>
    <row r="312" ht="15.75" customHeight="1">
      <c r="B312" s="4" t="s">
        <v>128</v>
      </c>
    </row>
    <row r="313" ht="15.75" customHeight="1">
      <c r="B313" s="4" t="s">
        <v>128</v>
      </c>
    </row>
    <row r="314" ht="15.75" customHeight="1">
      <c r="B314" s="4" t="s">
        <v>128</v>
      </c>
    </row>
    <row r="315" ht="15.75" customHeight="1">
      <c r="B315" s="4" t="s">
        <v>128</v>
      </c>
    </row>
    <row r="316" ht="15.75" customHeight="1">
      <c r="B316" s="4" t="s">
        <v>128</v>
      </c>
    </row>
    <row r="317" ht="15.75" customHeight="1">
      <c r="B317" s="4" t="s">
        <v>128</v>
      </c>
    </row>
    <row r="318" ht="15.75" customHeight="1">
      <c r="B318" s="4" t="s">
        <v>128</v>
      </c>
    </row>
    <row r="319" ht="15.75" customHeight="1">
      <c r="B319" s="4" t="s">
        <v>128</v>
      </c>
    </row>
    <row r="320" ht="15.75" customHeight="1">
      <c r="B320" s="4" t="s">
        <v>128</v>
      </c>
    </row>
    <row r="321" ht="15.75" customHeight="1">
      <c r="B321" s="4" t="s">
        <v>128</v>
      </c>
    </row>
    <row r="322" ht="15.75" customHeight="1">
      <c r="B322" s="4" t="s">
        <v>128</v>
      </c>
    </row>
    <row r="323" ht="15.75" customHeight="1">
      <c r="B323" s="4" t="s">
        <v>128</v>
      </c>
    </row>
    <row r="324" ht="15.75" customHeight="1">
      <c r="B324" s="4" t="s">
        <v>128</v>
      </c>
    </row>
    <row r="325" ht="15.75" customHeight="1">
      <c r="B325" s="4" t="s">
        <v>128</v>
      </c>
    </row>
    <row r="326" ht="15.75" customHeight="1">
      <c r="B326" s="4" t="s">
        <v>128</v>
      </c>
    </row>
    <row r="327" ht="15.75" customHeight="1">
      <c r="B327" s="4" t="s">
        <v>128</v>
      </c>
    </row>
    <row r="328" ht="15.75" customHeight="1">
      <c r="B328" s="4" t="s">
        <v>128</v>
      </c>
    </row>
    <row r="329" ht="15.75" customHeight="1">
      <c r="B329" s="4" t="s">
        <v>128</v>
      </c>
    </row>
    <row r="330" ht="15.75" customHeight="1">
      <c r="B330" s="4" t="s">
        <v>128</v>
      </c>
    </row>
    <row r="331" ht="15.75" customHeight="1">
      <c r="B331" s="4" t="s">
        <v>128</v>
      </c>
    </row>
    <row r="332" ht="15.75" customHeight="1">
      <c r="B332" s="4" t="s">
        <v>128</v>
      </c>
    </row>
    <row r="333" ht="15.75" customHeight="1">
      <c r="B333" s="4" t="s">
        <v>128</v>
      </c>
    </row>
    <row r="334" ht="15.75" customHeight="1">
      <c r="B334" s="4" t="s">
        <v>128</v>
      </c>
    </row>
    <row r="335" ht="15.75" customHeight="1">
      <c r="B335" s="4" t="s">
        <v>128</v>
      </c>
    </row>
    <row r="336" ht="15.75" customHeight="1">
      <c r="B336" s="4" t="s">
        <v>128</v>
      </c>
    </row>
    <row r="337" ht="15.75" customHeight="1">
      <c r="B337" s="4" t="s">
        <v>128</v>
      </c>
    </row>
    <row r="338" ht="15.75" customHeight="1">
      <c r="B338" s="4" t="s">
        <v>128</v>
      </c>
    </row>
    <row r="339" ht="15.75" customHeight="1">
      <c r="B339" s="4" t="s">
        <v>128</v>
      </c>
    </row>
    <row r="340" ht="15.75" customHeight="1">
      <c r="B340" s="4" t="s">
        <v>128</v>
      </c>
    </row>
    <row r="341" ht="15.75" customHeight="1">
      <c r="B341" s="4" t="s">
        <v>128</v>
      </c>
    </row>
    <row r="342" ht="15.75" customHeight="1">
      <c r="B342" s="4" t="s">
        <v>128</v>
      </c>
    </row>
    <row r="343" ht="15.75" customHeight="1">
      <c r="B343" s="4" t="s">
        <v>128</v>
      </c>
    </row>
    <row r="344" ht="15.75" customHeight="1">
      <c r="B344" s="4" t="s">
        <v>128</v>
      </c>
    </row>
    <row r="345" ht="15.75" customHeight="1">
      <c r="B345" s="4" t="s">
        <v>128</v>
      </c>
    </row>
    <row r="346" ht="15.75" customHeight="1">
      <c r="B346" s="4" t="s">
        <v>128</v>
      </c>
    </row>
    <row r="347" ht="15.75" customHeight="1">
      <c r="B347" s="4" t="s">
        <v>128</v>
      </c>
    </row>
    <row r="348" ht="15.75" customHeight="1">
      <c r="B348" s="4" t="s">
        <v>128</v>
      </c>
    </row>
    <row r="349" ht="15.75" customHeight="1">
      <c r="B349" s="4" t="s">
        <v>128</v>
      </c>
    </row>
    <row r="350" ht="15.75" customHeight="1">
      <c r="B350" s="4" t="s">
        <v>128</v>
      </c>
    </row>
    <row r="351" ht="15.75" customHeight="1">
      <c r="B351" s="4" t="s">
        <v>128</v>
      </c>
    </row>
    <row r="352" ht="15.75" customHeight="1">
      <c r="B352" s="4" t="s">
        <v>128</v>
      </c>
    </row>
    <row r="353" ht="15.75" customHeight="1">
      <c r="B353" s="4" t="s">
        <v>128</v>
      </c>
    </row>
    <row r="354" ht="15.75" customHeight="1">
      <c r="B354" s="4" t="s">
        <v>128</v>
      </c>
    </row>
    <row r="355" ht="15.75" customHeight="1">
      <c r="B355" s="4" t="s">
        <v>128</v>
      </c>
    </row>
    <row r="356" ht="15.75" customHeight="1">
      <c r="B356" s="4" t="s">
        <v>128</v>
      </c>
    </row>
    <row r="357" ht="15.75" customHeight="1">
      <c r="B357" s="4" t="s">
        <v>128</v>
      </c>
    </row>
    <row r="358" ht="15.75" customHeight="1">
      <c r="B358" s="4" t="s">
        <v>128</v>
      </c>
    </row>
    <row r="359" ht="15.75" customHeight="1">
      <c r="B359" s="4" t="s">
        <v>128</v>
      </c>
    </row>
    <row r="360" ht="15.75" customHeight="1">
      <c r="B360" s="4" t="s">
        <v>128</v>
      </c>
    </row>
    <row r="361" ht="15.75" customHeight="1">
      <c r="B361" s="4" t="s">
        <v>128</v>
      </c>
    </row>
    <row r="362" ht="15.75" customHeight="1">
      <c r="B362" s="4" t="s">
        <v>128</v>
      </c>
    </row>
    <row r="363" ht="15.75" customHeight="1">
      <c r="B363" s="4" t="s">
        <v>128</v>
      </c>
    </row>
    <row r="364" ht="15.75" customHeight="1">
      <c r="B364" s="4" t="s">
        <v>128</v>
      </c>
    </row>
    <row r="365" ht="15.75" customHeight="1">
      <c r="B365" s="4" t="s">
        <v>128</v>
      </c>
    </row>
    <row r="366" ht="15.75" customHeight="1">
      <c r="B366" s="4" t="s">
        <v>128</v>
      </c>
    </row>
    <row r="367" ht="15.75" customHeight="1">
      <c r="B367" s="4" t="s">
        <v>128</v>
      </c>
    </row>
    <row r="368" ht="15.75" customHeight="1">
      <c r="B368" s="4" t="s">
        <v>128</v>
      </c>
    </row>
    <row r="369" ht="15.75" customHeight="1">
      <c r="B369" s="4" t="s">
        <v>128</v>
      </c>
    </row>
    <row r="370" ht="15.75" customHeight="1">
      <c r="B370" s="4" t="s">
        <v>128</v>
      </c>
    </row>
    <row r="371" ht="15.75" customHeight="1">
      <c r="B371" s="4" t="s">
        <v>128</v>
      </c>
    </row>
    <row r="372" ht="15.75" customHeight="1">
      <c r="B372" s="4" t="s">
        <v>128</v>
      </c>
    </row>
    <row r="373" ht="15.75" customHeight="1">
      <c r="B373" s="4" t="s">
        <v>128</v>
      </c>
    </row>
    <row r="374" ht="15.75" customHeight="1">
      <c r="B374" s="4" t="s">
        <v>128</v>
      </c>
    </row>
    <row r="375" ht="15.75" customHeight="1">
      <c r="B375" s="4" t="s">
        <v>128</v>
      </c>
    </row>
    <row r="376" ht="15.75" customHeight="1">
      <c r="B376" s="4" t="s">
        <v>128</v>
      </c>
    </row>
    <row r="377" ht="15.75" customHeight="1">
      <c r="B377" s="4" t="s">
        <v>128</v>
      </c>
    </row>
    <row r="378" ht="15.75" customHeight="1">
      <c r="B378" s="4" t="s">
        <v>128</v>
      </c>
    </row>
    <row r="379" ht="15.75" customHeight="1">
      <c r="B379" s="4" t="s">
        <v>128</v>
      </c>
    </row>
    <row r="380" ht="15.75" customHeight="1">
      <c r="B380" s="4" t="s">
        <v>128</v>
      </c>
    </row>
    <row r="381" ht="15.75" customHeight="1">
      <c r="B381" s="4" t="s">
        <v>128</v>
      </c>
    </row>
    <row r="382" ht="15.75" customHeight="1">
      <c r="B382" s="4" t="s">
        <v>128</v>
      </c>
    </row>
    <row r="383" ht="15.75" customHeight="1">
      <c r="B383" s="4" t="s">
        <v>128</v>
      </c>
    </row>
    <row r="384" ht="15.75" customHeight="1">
      <c r="B384" s="4" t="s">
        <v>128</v>
      </c>
    </row>
    <row r="385" ht="15.75" customHeight="1">
      <c r="B385" s="4" t="s">
        <v>128</v>
      </c>
    </row>
    <row r="386" ht="15.75" customHeight="1">
      <c r="B386" s="4" t="s">
        <v>128</v>
      </c>
    </row>
    <row r="387" ht="15.75" customHeight="1">
      <c r="B387" s="4" t="s">
        <v>128</v>
      </c>
    </row>
    <row r="388" ht="15.75" customHeight="1">
      <c r="B388" s="4" t="s">
        <v>128</v>
      </c>
    </row>
    <row r="389" ht="15.75" customHeight="1">
      <c r="B389" s="4" t="s">
        <v>128</v>
      </c>
    </row>
    <row r="390" ht="15.75" customHeight="1">
      <c r="B390" s="4" t="s">
        <v>128</v>
      </c>
    </row>
    <row r="391" ht="15.75" customHeight="1">
      <c r="B391" s="4" t="s">
        <v>128</v>
      </c>
    </row>
    <row r="392" ht="15.75" customHeight="1">
      <c r="B392" s="4" t="s">
        <v>128</v>
      </c>
    </row>
    <row r="393" ht="15.75" customHeight="1">
      <c r="B393" s="4" t="s">
        <v>128</v>
      </c>
    </row>
    <row r="394" ht="15.75" customHeight="1">
      <c r="B394" s="4" t="s">
        <v>128</v>
      </c>
    </row>
    <row r="395" ht="15.75" customHeight="1">
      <c r="B395" s="4" t="s">
        <v>128</v>
      </c>
    </row>
    <row r="396" ht="15.75" customHeight="1">
      <c r="B396" s="4" t="s">
        <v>128</v>
      </c>
    </row>
    <row r="397" ht="15.75" customHeight="1">
      <c r="B397" s="4" t="s">
        <v>128</v>
      </c>
    </row>
    <row r="398" ht="15.75" customHeight="1">
      <c r="B398" s="4" t="s">
        <v>128</v>
      </c>
    </row>
    <row r="399" ht="15.75" customHeight="1">
      <c r="B399" s="4" t="s">
        <v>128</v>
      </c>
    </row>
    <row r="400" ht="15.75" customHeight="1">
      <c r="B400" s="4" t="s">
        <v>128</v>
      </c>
    </row>
    <row r="401" ht="15.75" customHeight="1">
      <c r="B401" s="4" t="s">
        <v>128</v>
      </c>
    </row>
    <row r="402" ht="15.75" customHeight="1">
      <c r="B402" s="4" t="s">
        <v>128</v>
      </c>
    </row>
    <row r="403" ht="15.75" customHeight="1">
      <c r="B403" s="4" t="s">
        <v>128</v>
      </c>
    </row>
    <row r="404" ht="15.75" customHeight="1">
      <c r="B404" s="4" t="s">
        <v>128</v>
      </c>
    </row>
    <row r="405" ht="15.75" customHeight="1">
      <c r="B405" s="4" t="s">
        <v>128</v>
      </c>
    </row>
    <row r="406" ht="15.75" customHeight="1">
      <c r="B406" s="4" t="s">
        <v>128</v>
      </c>
    </row>
    <row r="407" ht="15.75" customHeight="1">
      <c r="B407" s="4" t="s">
        <v>128</v>
      </c>
    </row>
    <row r="408" ht="15.75" customHeight="1">
      <c r="B408" s="4" t="s">
        <v>128</v>
      </c>
    </row>
    <row r="409" ht="15.75" customHeight="1">
      <c r="B409" s="4" t="s">
        <v>128</v>
      </c>
    </row>
    <row r="410" ht="15.75" customHeight="1">
      <c r="B410" s="4" t="s">
        <v>128</v>
      </c>
    </row>
    <row r="411" ht="15.75" customHeight="1">
      <c r="B411" s="4" t="s">
        <v>128</v>
      </c>
    </row>
    <row r="412" ht="15.75" customHeight="1">
      <c r="B412" s="4" t="s">
        <v>128</v>
      </c>
    </row>
    <row r="413" ht="15.75" customHeight="1">
      <c r="B413" s="4" t="s">
        <v>128</v>
      </c>
    </row>
    <row r="414" ht="15.75" customHeight="1">
      <c r="B414" s="4" t="s">
        <v>128</v>
      </c>
    </row>
    <row r="415" ht="15.75" customHeight="1">
      <c r="B415" s="4" t="s">
        <v>128</v>
      </c>
    </row>
    <row r="416" ht="15.75" customHeight="1">
      <c r="B416" s="4" t="s">
        <v>128</v>
      </c>
    </row>
    <row r="417" ht="15.75" customHeight="1">
      <c r="B417" s="4" t="s">
        <v>128</v>
      </c>
    </row>
    <row r="418" ht="15.75" customHeight="1">
      <c r="B418" s="4" t="s">
        <v>128</v>
      </c>
    </row>
    <row r="419" ht="15.75" customHeight="1">
      <c r="B419" s="4" t="s">
        <v>128</v>
      </c>
    </row>
    <row r="420" ht="15.75" customHeight="1">
      <c r="B420" s="4" t="s">
        <v>128</v>
      </c>
    </row>
    <row r="421" ht="15.75" customHeight="1">
      <c r="B421" s="4" t="s">
        <v>128</v>
      </c>
    </row>
    <row r="422" ht="15.75" customHeight="1">
      <c r="B422" s="4" t="s">
        <v>128</v>
      </c>
    </row>
    <row r="423" ht="15.75" customHeight="1">
      <c r="B423" s="4" t="s">
        <v>128</v>
      </c>
    </row>
    <row r="424" ht="15.75" customHeight="1">
      <c r="B424" s="4" t="s">
        <v>128</v>
      </c>
    </row>
    <row r="425" ht="15.75" customHeight="1">
      <c r="B425" s="4" t="s">
        <v>128</v>
      </c>
    </row>
    <row r="426" ht="15.75" customHeight="1">
      <c r="B426" s="4" t="s">
        <v>128</v>
      </c>
    </row>
    <row r="427" ht="15.75" customHeight="1">
      <c r="B427" s="4" t="s">
        <v>128</v>
      </c>
    </row>
    <row r="428" ht="15.75" customHeight="1">
      <c r="B428" s="4" t="s">
        <v>128</v>
      </c>
    </row>
    <row r="429" ht="15.75" customHeight="1">
      <c r="B429" s="4" t="s">
        <v>128</v>
      </c>
    </row>
    <row r="430" ht="15.75" customHeight="1">
      <c r="B430" s="4" t="s">
        <v>128</v>
      </c>
    </row>
    <row r="431" ht="15.75" customHeight="1">
      <c r="B431" s="4" t="s">
        <v>128</v>
      </c>
    </row>
    <row r="432" ht="15.75" customHeight="1">
      <c r="B432" s="4" t="s">
        <v>128</v>
      </c>
    </row>
    <row r="433" ht="15.75" customHeight="1">
      <c r="B433" s="4" t="s">
        <v>128</v>
      </c>
    </row>
    <row r="434" ht="15.75" customHeight="1">
      <c r="B434" s="4" t="s">
        <v>128</v>
      </c>
    </row>
    <row r="435" ht="15.75" customHeight="1">
      <c r="B435" s="4" t="s">
        <v>128</v>
      </c>
    </row>
    <row r="436" ht="15.75" customHeight="1">
      <c r="B436" s="4" t="s">
        <v>128</v>
      </c>
    </row>
    <row r="437" ht="15.75" customHeight="1">
      <c r="B437" s="4" t="s">
        <v>128</v>
      </c>
    </row>
    <row r="438" ht="15.75" customHeight="1">
      <c r="B438" s="4" t="s">
        <v>128</v>
      </c>
    </row>
    <row r="439" ht="15.75" customHeight="1">
      <c r="B439" s="4" t="s">
        <v>128</v>
      </c>
    </row>
    <row r="440" ht="15.75" customHeight="1">
      <c r="B440" s="4" t="s">
        <v>128</v>
      </c>
    </row>
    <row r="441" ht="15.75" customHeight="1">
      <c r="B441" s="4" t="s">
        <v>128</v>
      </c>
    </row>
    <row r="442" ht="15.75" customHeight="1">
      <c r="B442" s="4" t="s">
        <v>128</v>
      </c>
    </row>
    <row r="443" ht="15.75" customHeight="1">
      <c r="B443" s="4" t="s">
        <v>128</v>
      </c>
    </row>
    <row r="444" ht="15.75" customHeight="1">
      <c r="B444" s="4" t="s">
        <v>128</v>
      </c>
    </row>
    <row r="445" ht="15.75" customHeight="1">
      <c r="B445" s="4" t="s">
        <v>128</v>
      </c>
    </row>
    <row r="446" ht="15.75" customHeight="1">
      <c r="B446" s="4" t="s">
        <v>128</v>
      </c>
    </row>
    <row r="447" ht="15.75" customHeight="1">
      <c r="B447" s="4" t="s">
        <v>128</v>
      </c>
    </row>
    <row r="448" ht="15.75" customHeight="1">
      <c r="B448" s="4" t="s">
        <v>128</v>
      </c>
    </row>
    <row r="449" ht="15.75" customHeight="1">
      <c r="B449" s="4" t="s">
        <v>128</v>
      </c>
    </row>
    <row r="450" ht="15.75" customHeight="1">
      <c r="B450" s="4" t="s">
        <v>128</v>
      </c>
    </row>
    <row r="451" ht="15.75" customHeight="1">
      <c r="B451" s="4" t="s">
        <v>128</v>
      </c>
    </row>
    <row r="452" ht="15.75" customHeight="1">
      <c r="B452" s="4" t="s">
        <v>128</v>
      </c>
    </row>
    <row r="453" ht="15.75" customHeight="1">
      <c r="B453" s="4" t="s">
        <v>128</v>
      </c>
    </row>
    <row r="454" ht="15.75" customHeight="1">
      <c r="B454" s="4" t="s">
        <v>128</v>
      </c>
    </row>
    <row r="455" ht="15.75" customHeight="1">
      <c r="B455" s="4" t="s">
        <v>128</v>
      </c>
    </row>
    <row r="456" ht="15.75" customHeight="1">
      <c r="B456" s="4" t="s">
        <v>128</v>
      </c>
    </row>
    <row r="457" ht="15.75" customHeight="1">
      <c r="B457" s="4" t="s">
        <v>128</v>
      </c>
    </row>
    <row r="458" ht="15.75" customHeight="1">
      <c r="B458" s="4" t="s">
        <v>128</v>
      </c>
    </row>
    <row r="459" ht="15.75" customHeight="1">
      <c r="B459" s="4" t="s">
        <v>128</v>
      </c>
    </row>
    <row r="460" ht="15.75" customHeight="1">
      <c r="B460" s="4" t="s">
        <v>128</v>
      </c>
    </row>
    <row r="461" ht="15.75" customHeight="1">
      <c r="B461" s="4" t="s">
        <v>128</v>
      </c>
    </row>
    <row r="462" ht="15.75" customHeight="1">
      <c r="B462" s="4" t="s">
        <v>128</v>
      </c>
    </row>
    <row r="463" ht="15.75" customHeight="1">
      <c r="B463" s="4" t="s">
        <v>128</v>
      </c>
    </row>
    <row r="464" ht="15.75" customHeight="1">
      <c r="B464" s="4" t="s">
        <v>128</v>
      </c>
    </row>
    <row r="465" ht="15.75" customHeight="1">
      <c r="B465" s="4" t="s">
        <v>128</v>
      </c>
    </row>
    <row r="466" ht="15.75" customHeight="1">
      <c r="B466" s="4" t="s">
        <v>128</v>
      </c>
    </row>
    <row r="467" ht="15.75" customHeight="1">
      <c r="B467" s="4" t="s">
        <v>128</v>
      </c>
    </row>
    <row r="468" ht="15.75" customHeight="1">
      <c r="B468" s="4" t="s">
        <v>128</v>
      </c>
    </row>
    <row r="469" ht="15.75" customHeight="1">
      <c r="B469" s="4" t="s">
        <v>128</v>
      </c>
    </row>
    <row r="470" ht="15.75" customHeight="1">
      <c r="B470" s="4" t="s">
        <v>128</v>
      </c>
    </row>
    <row r="471" ht="15.75" customHeight="1">
      <c r="B471" s="4" t="s">
        <v>128</v>
      </c>
    </row>
    <row r="472" ht="15.75" customHeight="1">
      <c r="B472" s="4" t="s">
        <v>128</v>
      </c>
    </row>
    <row r="473" ht="15.75" customHeight="1">
      <c r="B473" s="4" t="s">
        <v>128</v>
      </c>
    </row>
    <row r="474" ht="15.75" customHeight="1">
      <c r="B474" s="4" t="s">
        <v>128</v>
      </c>
    </row>
    <row r="475" ht="15.75" customHeight="1">
      <c r="B475" s="4" t="s">
        <v>128</v>
      </c>
    </row>
    <row r="476" ht="15.75" customHeight="1">
      <c r="B476" s="4" t="s">
        <v>128</v>
      </c>
    </row>
    <row r="477" ht="15.75" customHeight="1">
      <c r="B477" s="4" t="s">
        <v>128</v>
      </c>
    </row>
    <row r="478" ht="15.75" customHeight="1">
      <c r="B478" s="4" t="s">
        <v>128</v>
      </c>
    </row>
    <row r="479" ht="15.75" customHeight="1">
      <c r="B479" s="4" t="s">
        <v>128</v>
      </c>
    </row>
    <row r="480" ht="15.75" customHeight="1">
      <c r="B480" s="4" t="s">
        <v>128</v>
      </c>
    </row>
    <row r="481" ht="15.75" customHeight="1">
      <c r="B481" s="4" t="s">
        <v>128</v>
      </c>
    </row>
    <row r="482" ht="15.75" customHeight="1">
      <c r="B482" s="4" t="s">
        <v>128</v>
      </c>
    </row>
    <row r="483" ht="15.75" customHeight="1">
      <c r="B483" s="4" t="s">
        <v>128</v>
      </c>
    </row>
    <row r="484" ht="15.75" customHeight="1">
      <c r="B484" s="4" t="s">
        <v>128</v>
      </c>
    </row>
    <row r="485" ht="15.75" customHeight="1">
      <c r="B485" s="4" t="s">
        <v>128</v>
      </c>
    </row>
    <row r="486" ht="15.75" customHeight="1">
      <c r="B486" s="4" t="s">
        <v>128</v>
      </c>
    </row>
    <row r="487" ht="15.75" customHeight="1">
      <c r="B487" s="4" t="s">
        <v>128</v>
      </c>
    </row>
    <row r="488" ht="15.75" customHeight="1">
      <c r="B488" s="4" t="s">
        <v>128</v>
      </c>
    </row>
    <row r="489" ht="15.75" customHeight="1">
      <c r="B489" s="4" t="s">
        <v>128</v>
      </c>
    </row>
    <row r="490" ht="15.75" customHeight="1">
      <c r="B490" s="4" t="s">
        <v>128</v>
      </c>
    </row>
    <row r="491" ht="15.75" customHeight="1">
      <c r="B491" s="4" t="s">
        <v>128</v>
      </c>
    </row>
    <row r="492" ht="15.75" customHeight="1">
      <c r="B492" s="4" t="s">
        <v>128</v>
      </c>
    </row>
    <row r="493" ht="15.75" customHeight="1">
      <c r="B493" s="4" t="s">
        <v>128</v>
      </c>
    </row>
    <row r="494" ht="15.75" customHeight="1">
      <c r="B494" s="4" t="s">
        <v>128</v>
      </c>
    </row>
    <row r="495" ht="15.75" customHeight="1">
      <c r="B495" s="4" t="s">
        <v>128</v>
      </c>
    </row>
    <row r="496" ht="15.75" customHeight="1">
      <c r="B496" s="4" t="s">
        <v>128</v>
      </c>
    </row>
    <row r="497" ht="15.75" customHeight="1">
      <c r="B497" s="4" t="s">
        <v>128</v>
      </c>
    </row>
    <row r="498" ht="15.75" customHeight="1">
      <c r="B498" s="4" t="s">
        <v>128</v>
      </c>
    </row>
    <row r="499" ht="15.75" customHeight="1">
      <c r="B499" s="4" t="s">
        <v>128</v>
      </c>
    </row>
    <row r="500" ht="15.75" customHeight="1">
      <c r="B500" s="4" t="s">
        <v>128</v>
      </c>
    </row>
    <row r="501" ht="15.75" customHeight="1">
      <c r="B501" s="4" t="s">
        <v>128</v>
      </c>
    </row>
    <row r="502" ht="15.75" customHeight="1">
      <c r="B502" s="4" t="s">
        <v>128</v>
      </c>
    </row>
    <row r="503" ht="15.75" customHeight="1">
      <c r="B503" s="4" t="s">
        <v>128</v>
      </c>
    </row>
    <row r="504" ht="15.75" customHeight="1">
      <c r="B504" s="4" t="s">
        <v>128</v>
      </c>
    </row>
    <row r="505" ht="15.75" customHeight="1">
      <c r="B505" s="4" t="s">
        <v>128</v>
      </c>
    </row>
    <row r="506" ht="15.75" customHeight="1">
      <c r="B506" s="4" t="s">
        <v>128</v>
      </c>
    </row>
    <row r="507" ht="15.75" customHeight="1">
      <c r="B507" s="4" t="s">
        <v>128</v>
      </c>
    </row>
    <row r="508" ht="15.75" customHeight="1">
      <c r="B508" s="4" t="s">
        <v>128</v>
      </c>
    </row>
    <row r="509" ht="15.75" customHeight="1">
      <c r="B509" s="4" t="s">
        <v>128</v>
      </c>
    </row>
    <row r="510" ht="15.75" customHeight="1">
      <c r="B510" s="4" t="s">
        <v>128</v>
      </c>
    </row>
    <row r="511" ht="15.75" customHeight="1">
      <c r="B511" s="4" t="s">
        <v>128</v>
      </c>
    </row>
    <row r="512" ht="15.75" customHeight="1">
      <c r="B512" s="4" t="s">
        <v>128</v>
      </c>
    </row>
    <row r="513" ht="15.75" customHeight="1">
      <c r="B513" s="4" t="s">
        <v>128</v>
      </c>
    </row>
    <row r="514" ht="15.75" customHeight="1">
      <c r="B514" s="4" t="s">
        <v>128</v>
      </c>
    </row>
    <row r="515" ht="15.75" customHeight="1">
      <c r="B515" s="4" t="s">
        <v>128</v>
      </c>
    </row>
    <row r="516" ht="15.75" customHeight="1">
      <c r="B516" s="4" t="s">
        <v>128</v>
      </c>
    </row>
    <row r="517" ht="15.75" customHeight="1">
      <c r="B517" s="4" t="s">
        <v>128</v>
      </c>
    </row>
    <row r="518" ht="15.75" customHeight="1">
      <c r="B518" s="4" t="s">
        <v>128</v>
      </c>
    </row>
    <row r="519" ht="15.75" customHeight="1">
      <c r="B519" s="4" t="s">
        <v>128</v>
      </c>
    </row>
    <row r="520" ht="15.75" customHeight="1">
      <c r="B520" s="4" t="s">
        <v>128</v>
      </c>
    </row>
    <row r="521" ht="15.75" customHeight="1">
      <c r="B521" s="4" t="s">
        <v>128</v>
      </c>
    </row>
    <row r="522" ht="15.75" customHeight="1">
      <c r="B522" s="4" t="s">
        <v>128</v>
      </c>
    </row>
    <row r="523" ht="15.75" customHeight="1">
      <c r="B523" s="4" t="s">
        <v>128</v>
      </c>
    </row>
    <row r="524" ht="15.75" customHeight="1">
      <c r="B524" s="4" t="s">
        <v>128</v>
      </c>
    </row>
    <row r="525" ht="15.75" customHeight="1">
      <c r="B525" s="4" t="s">
        <v>128</v>
      </c>
    </row>
    <row r="526" ht="15.75" customHeight="1">
      <c r="B526" s="4" t="s">
        <v>128</v>
      </c>
    </row>
    <row r="527" ht="15.75" customHeight="1">
      <c r="B527" s="4" t="s">
        <v>128</v>
      </c>
    </row>
    <row r="528" ht="15.75" customHeight="1">
      <c r="B528" s="4" t="s">
        <v>128</v>
      </c>
    </row>
    <row r="529" ht="15.75" customHeight="1">
      <c r="B529" s="4" t="s">
        <v>128</v>
      </c>
    </row>
    <row r="530" ht="15.75" customHeight="1">
      <c r="B530" s="4" t="s">
        <v>128</v>
      </c>
    </row>
    <row r="531" ht="15.75" customHeight="1">
      <c r="B531" s="4" t="s">
        <v>128</v>
      </c>
    </row>
    <row r="532" ht="15.75" customHeight="1">
      <c r="B532" s="4" t="s">
        <v>128</v>
      </c>
    </row>
    <row r="533" ht="15.75" customHeight="1">
      <c r="B533" s="4" t="s">
        <v>128</v>
      </c>
    </row>
    <row r="534" ht="15.75" customHeight="1">
      <c r="B534" s="4" t="s">
        <v>128</v>
      </c>
    </row>
    <row r="535" ht="15.75" customHeight="1">
      <c r="B535" s="4" t="s">
        <v>128</v>
      </c>
    </row>
    <row r="536" ht="15.75" customHeight="1">
      <c r="B536" s="4" t="s">
        <v>128</v>
      </c>
    </row>
    <row r="537" ht="15.75" customHeight="1">
      <c r="B537" s="4" t="s">
        <v>128</v>
      </c>
    </row>
    <row r="538" ht="15.75" customHeight="1">
      <c r="B538" s="4" t="s">
        <v>128</v>
      </c>
    </row>
    <row r="539" ht="15.75" customHeight="1">
      <c r="B539" s="4" t="s">
        <v>128</v>
      </c>
    </row>
    <row r="540" ht="15.75" customHeight="1">
      <c r="B540" s="4" t="s">
        <v>128</v>
      </c>
    </row>
    <row r="541" ht="15.75" customHeight="1">
      <c r="B541" s="4" t="s">
        <v>128</v>
      </c>
    </row>
    <row r="542" ht="15.75" customHeight="1">
      <c r="B542" s="4" t="s">
        <v>128</v>
      </c>
    </row>
    <row r="543" ht="15.75" customHeight="1">
      <c r="B543" s="4" t="s">
        <v>128</v>
      </c>
    </row>
    <row r="544" ht="15.75" customHeight="1">
      <c r="B544" s="4" t="s">
        <v>128</v>
      </c>
    </row>
    <row r="545" ht="15.75" customHeight="1">
      <c r="B545" s="4" t="s">
        <v>128</v>
      </c>
    </row>
    <row r="546" ht="15.75" customHeight="1">
      <c r="B546" s="4" t="s">
        <v>128</v>
      </c>
    </row>
    <row r="547" ht="15.75" customHeight="1">
      <c r="B547" s="4" t="s">
        <v>128</v>
      </c>
    </row>
    <row r="548" ht="15.75" customHeight="1">
      <c r="B548" s="4" t="s">
        <v>128</v>
      </c>
    </row>
    <row r="549" ht="15.75" customHeight="1">
      <c r="B549" s="4" t="s">
        <v>128</v>
      </c>
    </row>
    <row r="550" ht="15.75" customHeight="1">
      <c r="B550" s="4" t="s">
        <v>128</v>
      </c>
    </row>
    <row r="551" ht="15.75" customHeight="1">
      <c r="B551" s="4" t="s">
        <v>128</v>
      </c>
    </row>
    <row r="552" ht="15.75" customHeight="1">
      <c r="B552" s="4" t="s">
        <v>128</v>
      </c>
    </row>
    <row r="553" ht="15.75" customHeight="1">
      <c r="B553" s="4" t="s">
        <v>128</v>
      </c>
    </row>
    <row r="554" ht="15.75" customHeight="1">
      <c r="B554" s="4" t="s">
        <v>128</v>
      </c>
    </row>
    <row r="555" ht="15.75" customHeight="1">
      <c r="B555" s="4" t="s">
        <v>128</v>
      </c>
    </row>
    <row r="556" ht="15.75" customHeight="1">
      <c r="B556" s="4" t="s">
        <v>128</v>
      </c>
    </row>
    <row r="557" ht="15.75" customHeight="1">
      <c r="B557" s="4" t="s">
        <v>128</v>
      </c>
    </row>
    <row r="558" ht="15.75" customHeight="1">
      <c r="B558" s="4" t="s">
        <v>128</v>
      </c>
    </row>
    <row r="559" ht="15.75" customHeight="1">
      <c r="B559" s="4" t="s">
        <v>128</v>
      </c>
    </row>
    <row r="560" ht="15.75" customHeight="1">
      <c r="B560" s="4" t="s">
        <v>128</v>
      </c>
    </row>
    <row r="561" ht="15.75" customHeight="1">
      <c r="B561" s="4" t="s">
        <v>128</v>
      </c>
    </row>
    <row r="562" ht="15.75" customHeight="1">
      <c r="B562" s="4" t="s">
        <v>128</v>
      </c>
    </row>
    <row r="563" ht="15.75" customHeight="1">
      <c r="B563" s="4" t="s">
        <v>128</v>
      </c>
    </row>
    <row r="564" ht="15.75" customHeight="1">
      <c r="B564" s="4" t="s">
        <v>128</v>
      </c>
    </row>
    <row r="565" ht="15.75" customHeight="1">
      <c r="B565" s="4" t="s">
        <v>128</v>
      </c>
    </row>
    <row r="566" ht="15.75" customHeight="1">
      <c r="B566" s="4" t="s">
        <v>128</v>
      </c>
    </row>
    <row r="567" ht="15.75" customHeight="1">
      <c r="B567" s="4" t="s">
        <v>128</v>
      </c>
    </row>
    <row r="568" ht="15.75" customHeight="1">
      <c r="B568" s="4" t="s">
        <v>128</v>
      </c>
    </row>
    <row r="569" ht="15.75" customHeight="1">
      <c r="B569" s="4" t="s">
        <v>128</v>
      </c>
    </row>
    <row r="570" ht="15.75" customHeight="1">
      <c r="B570" s="4" t="s">
        <v>128</v>
      </c>
    </row>
    <row r="571" ht="15.75" customHeight="1">
      <c r="B571" s="4" t="s">
        <v>128</v>
      </c>
    </row>
    <row r="572" ht="15.75" customHeight="1">
      <c r="B572" s="4" t="s">
        <v>128</v>
      </c>
    </row>
    <row r="573" ht="15.75" customHeight="1">
      <c r="B573" s="4" t="s">
        <v>128</v>
      </c>
    </row>
    <row r="574" ht="15.75" customHeight="1">
      <c r="B574" s="4" t="s">
        <v>128</v>
      </c>
    </row>
    <row r="575" ht="15.75" customHeight="1">
      <c r="B575" s="4" t="s">
        <v>128</v>
      </c>
    </row>
    <row r="576" ht="15.75" customHeight="1">
      <c r="B576" s="4" t="s">
        <v>128</v>
      </c>
    </row>
    <row r="577" ht="15.75" customHeight="1">
      <c r="B577" s="4" t="s">
        <v>128</v>
      </c>
    </row>
    <row r="578" ht="15.75" customHeight="1">
      <c r="B578" s="4" t="s">
        <v>128</v>
      </c>
    </row>
    <row r="579" ht="15.75" customHeight="1">
      <c r="B579" s="4" t="s">
        <v>128</v>
      </c>
    </row>
    <row r="580" ht="15.75" customHeight="1">
      <c r="B580" s="4" t="s">
        <v>128</v>
      </c>
    </row>
    <row r="581" ht="15.75" customHeight="1">
      <c r="B581" s="4" t="s">
        <v>128</v>
      </c>
    </row>
    <row r="582" ht="15.75" customHeight="1">
      <c r="B582" s="4" t="s">
        <v>128</v>
      </c>
    </row>
    <row r="583" ht="15.75" customHeight="1">
      <c r="B583" s="4" t="s">
        <v>128</v>
      </c>
    </row>
    <row r="584" ht="15.75" customHeight="1">
      <c r="B584" s="4" t="s">
        <v>128</v>
      </c>
    </row>
    <row r="585" ht="15.75" customHeight="1">
      <c r="B585" s="4" t="s">
        <v>128</v>
      </c>
    </row>
    <row r="586" ht="15.75" customHeight="1">
      <c r="B586" s="4" t="s">
        <v>128</v>
      </c>
    </row>
    <row r="587" ht="15.75" customHeight="1">
      <c r="B587" s="4" t="s">
        <v>128</v>
      </c>
    </row>
    <row r="588" ht="15.75" customHeight="1">
      <c r="B588" s="4" t="s">
        <v>128</v>
      </c>
    </row>
    <row r="589" ht="15.75" customHeight="1">
      <c r="B589" s="4" t="s">
        <v>128</v>
      </c>
    </row>
    <row r="590" ht="15.75" customHeight="1">
      <c r="B590" s="4" t="s">
        <v>128</v>
      </c>
    </row>
    <row r="591" ht="15.75" customHeight="1">
      <c r="B591" s="4" t="s">
        <v>128</v>
      </c>
    </row>
    <row r="592" ht="15.75" customHeight="1">
      <c r="B592" s="4" t="s">
        <v>128</v>
      </c>
    </row>
    <row r="593" ht="15.75" customHeight="1">
      <c r="B593" s="4" t="s">
        <v>128</v>
      </c>
    </row>
    <row r="594" ht="15.75" customHeight="1">
      <c r="B594" s="4" t="s">
        <v>128</v>
      </c>
    </row>
    <row r="595" ht="15.75" customHeight="1">
      <c r="B595" s="4" t="s">
        <v>128</v>
      </c>
    </row>
    <row r="596" ht="15.75" customHeight="1">
      <c r="B596" s="4" t="s">
        <v>128</v>
      </c>
    </row>
    <row r="597" ht="15.75" customHeight="1">
      <c r="B597" s="4" t="s">
        <v>128</v>
      </c>
    </row>
    <row r="598" ht="15.75" customHeight="1">
      <c r="B598" s="4" t="s">
        <v>128</v>
      </c>
    </row>
    <row r="599" ht="15.75" customHeight="1">
      <c r="B599" s="4" t="s">
        <v>128</v>
      </c>
    </row>
    <row r="600" ht="15.75" customHeight="1">
      <c r="B600" s="4" t="s">
        <v>128</v>
      </c>
    </row>
    <row r="601" ht="15.75" customHeight="1">
      <c r="B601" s="4" t="s">
        <v>128</v>
      </c>
    </row>
    <row r="602" ht="15.75" customHeight="1">
      <c r="B602" s="4" t="s">
        <v>128</v>
      </c>
    </row>
    <row r="603" ht="15.75" customHeight="1">
      <c r="B603" s="4" t="s">
        <v>128</v>
      </c>
    </row>
    <row r="604" ht="15.75" customHeight="1">
      <c r="B604" s="4" t="s">
        <v>128</v>
      </c>
    </row>
    <row r="605" ht="15.75" customHeight="1">
      <c r="B605" s="4" t="s">
        <v>128</v>
      </c>
    </row>
    <row r="606" ht="15.75" customHeight="1">
      <c r="B606" s="4" t="s">
        <v>128</v>
      </c>
    </row>
    <row r="607" ht="15.75" customHeight="1">
      <c r="B607" s="4" t="s">
        <v>128</v>
      </c>
    </row>
    <row r="608" ht="15.75" customHeight="1">
      <c r="B608" s="4" t="s">
        <v>128</v>
      </c>
    </row>
    <row r="609" ht="15.75" customHeight="1">
      <c r="B609" s="4" t="s">
        <v>128</v>
      </c>
    </row>
    <row r="610" ht="15.75" customHeight="1">
      <c r="B610" s="4" t="s">
        <v>128</v>
      </c>
    </row>
    <row r="611" ht="15.75" customHeight="1">
      <c r="B611" s="4" t="s">
        <v>128</v>
      </c>
    </row>
    <row r="612" ht="15.75" customHeight="1">
      <c r="B612" s="4" t="s">
        <v>128</v>
      </c>
    </row>
    <row r="613" ht="15.75" customHeight="1">
      <c r="B613" s="4" t="s">
        <v>128</v>
      </c>
    </row>
    <row r="614" ht="15.75" customHeight="1">
      <c r="B614" s="4" t="s">
        <v>128</v>
      </c>
    </row>
    <row r="615" ht="15.75" customHeight="1">
      <c r="B615" s="4" t="s">
        <v>128</v>
      </c>
    </row>
    <row r="616" ht="15.75" customHeight="1">
      <c r="B616" s="4" t="s">
        <v>128</v>
      </c>
    </row>
    <row r="617" ht="15.75" customHeight="1">
      <c r="B617" s="4" t="s">
        <v>128</v>
      </c>
    </row>
    <row r="618" ht="15.75" customHeight="1">
      <c r="B618" s="4" t="s">
        <v>128</v>
      </c>
    </row>
    <row r="619" ht="15.75" customHeight="1">
      <c r="B619" s="4" t="s">
        <v>128</v>
      </c>
    </row>
    <row r="620" ht="15.75" customHeight="1">
      <c r="B620" s="4" t="s">
        <v>128</v>
      </c>
    </row>
    <row r="621" ht="15.75" customHeight="1">
      <c r="B621" s="4" t="s">
        <v>128</v>
      </c>
    </row>
    <row r="622" ht="15.75" customHeight="1">
      <c r="B622" s="4" t="s">
        <v>128</v>
      </c>
    </row>
    <row r="623" ht="15.75" customHeight="1">
      <c r="B623" s="4" t="s">
        <v>128</v>
      </c>
    </row>
    <row r="624" ht="15.75" customHeight="1">
      <c r="B624" s="4" t="s">
        <v>128</v>
      </c>
    </row>
    <row r="625" ht="15.75" customHeight="1">
      <c r="B625" s="4" t="s">
        <v>128</v>
      </c>
    </row>
    <row r="626" ht="15.75" customHeight="1">
      <c r="B626" s="4" t="s">
        <v>128</v>
      </c>
    </row>
    <row r="627" ht="15.75" customHeight="1">
      <c r="B627" s="4" t="s">
        <v>128</v>
      </c>
    </row>
    <row r="628" ht="15.75" customHeight="1">
      <c r="B628" s="4" t="s">
        <v>128</v>
      </c>
    </row>
    <row r="629" ht="15.75" customHeight="1">
      <c r="B629" s="4" t="s">
        <v>128</v>
      </c>
    </row>
    <row r="630" ht="15.75" customHeight="1">
      <c r="B630" s="4" t="s">
        <v>128</v>
      </c>
    </row>
    <row r="631" ht="15.75" customHeight="1">
      <c r="B631" s="4" t="s">
        <v>128</v>
      </c>
    </row>
    <row r="632" ht="15.75" customHeight="1">
      <c r="B632" s="4" t="s">
        <v>128</v>
      </c>
    </row>
    <row r="633" ht="15.75" customHeight="1">
      <c r="B633" s="4" t="s">
        <v>128</v>
      </c>
    </row>
    <row r="634" ht="15.75" customHeight="1">
      <c r="B634" s="4" t="s">
        <v>128</v>
      </c>
    </row>
    <row r="635" ht="15.75" customHeight="1">
      <c r="B635" s="4" t="s">
        <v>128</v>
      </c>
    </row>
    <row r="636" ht="15.75" customHeight="1">
      <c r="B636" s="4" t="s">
        <v>128</v>
      </c>
    </row>
    <row r="637" ht="15.75" customHeight="1">
      <c r="B637" s="4" t="s">
        <v>128</v>
      </c>
    </row>
    <row r="638" ht="15.75" customHeight="1">
      <c r="B638" s="4" t="s">
        <v>128</v>
      </c>
    </row>
    <row r="639" ht="15.75" customHeight="1">
      <c r="B639" s="4" t="s">
        <v>128</v>
      </c>
    </row>
    <row r="640" ht="15.75" customHeight="1">
      <c r="B640" s="4" t="s">
        <v>128</v>
      </c>
    </row>
    <row r="641" ht="15.75" customHeight="1">
      <c r="B641" s="4" t="s">
        <v>128</v>
      </c>
    </row>
    <row r="642" ht="15.75" customHeight="1">
      <c r="B642" s="4" t="s">
        <v>128</v>
      </c>
    </row>
    <row r="643" ht="15.75" customHeight="1">
      <c r="B643" s="4" t="s">
        <v>128</v>
      </c>
    </row>
    <row r="644" ht="15.75" customHeight="1">
      <c r="B644" s="4" t="s">
        <v>128</v>
      </c>
    </row>
    <row r="645" ht="15.75" customHeight="1">
      <c r="B645" s="4" t="s">
        <v>128</v>
      </c>
    </row>
    <row r="646" ht="15.75" customHeight="1">
      <c r="B646" s="4" t="s">
        <v>128</v>
      </c>
    </row>
    <row r="647" ht="15.75" customHeight="1">
      <c r="B647" s="4" t="s">
        <v>128</v>
      </c>
    </row>
    <row r="648" ht="15.75" customHeight="1">
      <c r="B648" s="4" t="s">
        <v>128</v>
      </c>
    </row>
    <row r="649" ht="15.75" customHeight="1">
      <c r="B649" s="4" t="s">
        <v>128</v>
      </c>
    </row>
    <row r="650" ht="15.75" customHeight="1">
      <c r="B650" s="4" t="s">
        <v>128</v>
      </c>
    </row>
    <row r="651" ht="15.75" customHeight="1">
      <c r="B651" s="4" t="s">
        <v>128</v>
      </c>
    </row>
    <row r="652" ht="15.75" customHeight="1">
      <c r="B652" s="4" t="s">
        <v>128</v>
      </c>
    </row>
    <row r="653" ht="15.75" customHeight="1">
      <c r="B653" s="4" t="s">
        <v>128</v>
      </c>
    </row>
    <row r="654" ht="15.75" customHeight="1">
      <c r="B654" s="4" t="s">
        <v>128</v>
      </c>
    </row>
    <row r="655" ht="15.75" customHeight="1">
      <c r="B655" s="4" t="s">
        <v>128</v>
      </c>
    </row>
    <row r="656" ht="15.75" customHeight="1">
      <c r="B656" s="4" t="s">
        <v>128</v>
      </c>
    </row>
    <row r="657" ht="15.75" customHeight="1">
      <c r="B657" s="4" t="s">
        <v>128</v>
      </c>
    </row>
    <row r="658" ht="15.75" customHeight="1">
      <c r="B658" s="4" t="s">
        <v>128</v>
      </c>
    </row>
    <row r="659" ht="15.75" customHeight="1">
      <c r="B659" s="4" t="s">
        <v>128</v>
      </c>
    </row>
    <row r="660" ht="15.75" customHeight="1">
      <c r="B660" s="4" t="s">
        <v>128</v>
      </c>
    </row>
    <row r="661" ht="15.75" customHeight="1">
      <c r="B661" s="4" t="s">
        <v>128</v>
      </c>
    </row>
    <row r="662" ht="15.75" customHeight="1">
      <c r="B662" s="4" t="s">
        <v>128</v>
      </c>
    </row>
    <row r="663" ht="15.75" customHeight="1">
      <c r="B663" s="4" t="s">
        <v>128</v>
      </c>
    </row>
    <row r="664" ht="15.75" customHeight="1">
      <c r="B664" s="4" t="s">
        <v>128</v>
      </c>
    </row>
    <row r="665" ht="15.75" customHeight="1">
      <c r="B665" s="4" t="s">
        <v>128</v>
      </c>
    </row>
    <row r="666" ht="15.75" customHeight="1">
      <c r="B666" s="4" t="s">
        <v>128</v>
      </c>
    </row>
    <row r="667" ht="15.75" customHeight="1">
      <c r="B667" s="4" t="s">
        <v>128</v>
      </c>
    </row>
    <row r="668" ht="15.75" customHeight="1">
      <c r="B668" s="4" t="s">
        <v>128</v>
      </c>
    </row>
    <row r="669" ht="15.75" customHeight="1">
      <c r="B669" s="4" t="s">
        <v>128</v>
      </c>
    </row>
    <row r="670" ht="15.75" customHeight="1">
      <c r="B670" s="4" t="s">
        <v>128</v>
      </c>
    </row>
    <row r="671" ht="15.75" customHeight="1">
      <c r="B671" s="4" t="s">
        <v>128</v>
      </c>
    </row>
    <row r="672" ht="15.75" customHeight="1">
      <c r="B672" s="4" t="s">
        <v>128</v>
      </c>
    </row>
    <row r="673" ht="15.75" customHeight="1">
      <c r="B673" s="4" t="s">
        <v>128</v>
      </c>
    </row>
    <row r="674" ht="15.75" customHeight="1">
      <c r="B674" s="4" t="s">
        <v>128</v>
      </c>
    </row>
    <row r="675" ht="15.75" customHeight="1">
      <c r="B675" s="4" t="s">
        <v>128</v>
      </c>
    </row>
    <row r="676" ht="15.75" customHeight="1">
      <c r="B676" s="4" t="s">
        <v>128</v>
      </c>
    </row>
    <row r="677" ht="15.75" customHeight="1">
      <c r="B677" s="4" t="s">
        <v>128</v>
      </c>
    </row>
    <row r="678" ht="15.75" customHeight="1">
      <c r="B678" s="4" t="s">
        <v>128</v>
      </c>
    </row>
    <row r="679" ht="15.75" customHeight="1">
      <c r="B679" s="4" t="s">
        <v>128</v>
      </c>
    </row>
    <row r="680" ht="15.75" customHeight="1">
      <c r="B680" s="4" t="s">
        <v>128</v>
      </c>
    </row>
    <row r="681" ht="15.75" customHeight="1">
      <c r="B681" s="4" t="s">
        <v>128</v>
      </c>
    </row>
    <row r="682" ht="15.75" customHeight="1">
      <c r="B682" s="4" t="s">
        <v>128</v>
      </c>
    </row>
    <row r="683" ht="15.75" customHeight="1">
      <c r="B683" s="4" t="s">
        <v>128</v>
      </c>
    </row>
    <row r="684" ht="15.75" customHeight="1">
      <c r="B684" s="4" t="s">
        <v>128</v>
      </c>
    </row>
    <row r="685" ht="15.75" customHeight="1">
      <c r="B685" s="4" t="s">
        <v>128</v>
      </c>
    </row>
    <row r="686" ht="15.75" customHeight="1">
      <c r="B686" s="4" t="s">
        <v>128</v>
      </c>
    </row>
    <row r="687" ht="15.75" customHeight="1">
      <c r="B687" s="4" t="s">
        <v>128</v>
      </c>
    </row>
    <row r="688" ht="15.75" customHeight="1">
      <c r="B688" s="4" t="s">
        <v>128</v>
      </c>
    </row>
    <row r="689" ht="15.75" customHeight="1">
      <c r="B689" s="4" t="s">
        <v>128</v>
      </c>
    </row>
    <row r="690" ht="15.75" customHeight="1">
      <c r="B690" s="4" t="s">
        <v>128</v>
      </c>
    </row>
    <row r="691" ht="15.75" customHeight="1">
      <c r="B691" s="4" t="s">
        <v>128</v>
      </c>
    </row>
    <row r="692" ht="15.75" customHeight="1">
      <c r="B692" s="4" t="s">
        <v>128</v>
      </c>
    </row>
    <row r="693" ht="15.75" customHeight="1">
      <c r="B693" s="4" t="s">
        <v>128</v>
      </c>
    </row>
    <row r="694" ht="15.75" customHeight="1">
      <c r="B694" s="4" t="s">
        <v>128</v>
      </c>
    </row>
    <row r="695" ht="15.75" customHeight="1">
      <c r="B695" s="4" t="s">
        <v>128</v>
      </c>
    </row>
    <row r="696" ht="15.75" customHeight="1">
      <c r="B696" s="4" t="s">
        <v>128</v>
      </c>
    </row>
    <row r="697" ht="15.75" customHeight="1">
      <c r="B697" s="4" t="s">
        <v>128</v>
      </c>
    </row>
    <row r="698" ht="15.75" customHeight="1">
      <c r="B698" s="4" t="s">
        <v>128</v>
      </c>
    </row>
    <row r="699" ht="15.75" customHeight="1">
      <c r="B699" s="4" t="s">
        <v>128</v>
      </c>
    </row>
    <row r="700" ht="15.75" customHeight="1">
      <c r="B700" s="4" t="s">
        <v>128</v>
      </c>
    </row>
    <row r="701" ht="15.75" customHeight="1">
      <c r="B701" s="4" t="s">
        <v>128</v>
      </c>
    </row>
    <row r="702" ht="15.75" customHeight="1">
      <c r="B702" s="4" t="s">
        <v>128</v>
      </c>
    </row>
    <row r="703" ht="15.75" customHeight="1">
      <c r="B703" s="4" t="s">
        <v>128</v>
      </c>
    </row>
    <row r="704" ht="15.75" customHeight="1">
      <c r="B704" s="4" t="s">
        <v>128</v>
      </c>
    </row>
    <row r="705" ht="15.75" customHeight="1">
      <c r="B705" s="4" t="s">
        <v>128</v>
      </c>
    </row>
    <row r="706" ht="15.75" customHeight="1">
      <c r="B706" s="4" t="s">
        <v>128</v>
      </c>
    </row>
    <row r="707" ht="15.75" customHeight="1">
      <c r="B707" s="4" t="s">
        <v>128</v>
      </c>
    </row>
    <row r="708" ht="15.75" customHeight="1">
      <c r="B708" s="4" t="s">
        <v>128</v>
      </c>
    </row>
    <row r="709" ht="15.75" customHeight="1">
      <c r="B709" s="4" t="s">
        <v>128</v>
      </c>
    </row>
    <row r="710" ht="15.75" customHeight="1">
      <c r="B710" s="4" t="s">
        <v>128</v>
      </c>
    </row>
    <row r="711" ht="15.75" customHeight="1">
      <c r="B711" s="4" t="s">
        <v>128</v>
      </c>
    </row>
    <row r="712" ht="15.75" customHeight="1">
      <c r="B712" s="4" t="s">
        <v>128</v>
      </c>
    </row>
    <row r="713" ht="15.75" customHeight="1">
      <c r="B713" s="4" t="s">
        <v>128</v>
      </c>
    </row>
    <row r="714" ht="15.75" customHeight="1">
      <c r="B714" s="4" t="s">
        <v>128</v>
      </c>
    </row>
    <row r="715" ht="15.75" customHeight="1">
      <c r="B715" s="4" t="s">
        <v>128</v>
      </c>
    </row>
    <row r="716" ht="15.75" customHeight="1">
      <c r="B716" s="4" t="s">
        <v>128</v>
      </c>
    </row>
    <row r="717" ht="15.75" customHeight="1">
      <c r="B717" s="4" t="s">
        <v>128</v>
      </c>
    </row>
    <row r="718" ht="15.75" customHeight="1">
      <c r="B718" s="4" t="s">
        <v>128</v>
      </c>
    </row>
    <row r="719" ht="15.75" customHeight="1">
      <c r="B719" s="4" t="s">
        <v>128</v>
      </c>
    </row>
    <row r="720" ht="15.75" customHeight="1">
      <c r="B720" s="4" t="s">
        <v>128</v>
      </c>
    </row>
    <row r="721" ht="15.75" customHeight="1">
      <c r="B721" s="4" t="s">
        <v>128</v>
      </c>
    </row>
    <row r="722" ht="15.75" customHeight="1">
      <c r="B722" s="4" t="s">
        <v>128</v>
      </c>
    </row>
    <row r="723" ht="15.75" customHeight="1">
      <c r="B723" s="4" t="s">
        <v>128</v>
      </c>
    </row>
    <row r="724" ht="15.75" customHeight="1">
      <c r="B724" s="4" t="s">
        <v>128</v>
      </c>
    </row>
    <row r="725" ht="15.75" customHeight="1">
      <c r="B725" s="4" t="s">
        <v>128</v>
      </c>
    </row>
    <row r="726" ht="15.75" customHeight="1">
      <c r="B726" s="4" t="s">
        <v>128</v>
      </c>
    </row>
    <row r="727" ht="15.75" customHeight="1">
      <c r="B727" s="4" t="s">
        <v>128</v>
      </c>
    </row>
    <row r="728" ht="15.75" customHeight="1">
      <c r="B728" s="4" t="s">
        <v>128</v>
      </c>
    </row>
    <row r="729" ht="15.75" customHeight="1">
      <c r="B729" s="4" t="s">
        <v>128</v>
      </c>
    </row>
    <row r="730" ht="15.75" customHeight="1">
      <c r="B730" s="4" t="s">
        <v>128</v>
      </c>
    </row>
    <row r="731" ht="15.75" customHeight="1">
      <c r="B731" s="4" t="s">
        <v>128</v>
      </c>
    </row>
    <row r="732" ht="15.75" customHeight="1">
      <c r="B732" s="4" t="s">
        <v>128</v>
      </c>
    </row>
    <row r="733" ht="15.75" customHeight="1">
      <c r="B733" s="4" t="s">
        <v>128</v>
      </c>
    </row>
    <row r="734" ht="15.75" customHeight="1">
      <c r="B734" s="4" t="s">
        <v>128</v>
      </c>
    </row>
    <row r="735" ht="15.75" customHeight="1">
      <c r="B735" s="4" t="s">
        <v>128</v>
      </c>
    </row>
    <row r="736" ht="15.75" customHeight="1">
      <c r="B736" s="4" t="s">
        <v>128</v>
      </c>
    </row>
    <row r="737" ht="15.75" customHeight="1">
      <c r="B737" s="4" t="s">
        <v>128</v>
      </c>
    </row>
    <row r="738" ht="15.75" customHeight="1">
      <c r="B738" s="4" t="s">
        <v>128</v>
      </c>
    </row>
    <row r="739" ht="15.75" customHeight="1">
      <c r="B739" s="4" t="s">
        <v>128</v>
      </c>
    </row>
    <row r="740" ht="15.75" customHeight="1">
      <c r="B740" s="4" t="s">
        <v>128</v>
      </c>
    </row>
    <row r="741" ht="15.75" customHeight="1">
      <c r="B741" s="4" t="s">
        <v>128</v>
      </c>
    </row>
    <row r="742" ht="15.75" customHeight="1">
      <c r="B742" s="4" t="s">
        <v>128</v>
      </c>
    </row>
    <row r="743" ht="15.75" customHeight="1">
      <c r="B743" s="4" t="s">
        <v>128</v>
      </c>
    </row>
    <row r="744" ht="15.75" customHeight="1">
      <c r="B744" s="4" t="s">
        <v>128</v>
      </c>
    </row>
    <row r="745" ht="15.75" customHeight="1">
      <c r="B745" s="4" t="s">
        <v>128</v>
      </c>
    </row>
    <row r="746" ht="15.75" customHeight="1">
      <c r="B746" s="4" t="s">
        <v>128</v>
      </c>
    </row>
    <row r="747" ht="15.75" customHeight="1">
      <c r="B747" s="4" t="s">
        <v>128</v>
      </c>
    </row>
    <row r="748" ht="15.75" customHeight="1">
      <c r="B748" s="4" t="s">
        <v>128</v>
      </c>
    </row>
    <row r="749" ht="15.75" customHeight="1">
      <c r="B749" s="4" t="s">
        <v>128</v>
      </c>
    </row>
    <row r="750" ht="15.75" customHeight="1">
      <c r="B750" s="4" t="s">
        <v>128</v>
      </c>
    </row>
    <row r="751" ht="15.75" customHeight="1">
      <c r="B751" s="4" t="s">
        <v>128</v>
      </c>
    </row>
    <row r="752" ht="15.75" customHeight="1">
      <c r="B752" s="4" t="s">
        <v>128</v>
      </c>
    </row>
    <row r="753" ht="15.75" customHeight="1">
      <c r="B753" s="4" t="s">
        <v>128</v>
      </c>
    </row>
    <row r="754" ht="15.75" customHeight="1">
      <c r="B754" s="4" t="s">
        <v>128</v>
      </c>
    </row>
    <row r="755" ht="15.75" customHeight="1">
      <c r="B755" s="4" t="s">
        <v>128</v>
      </c>
    </row>
    <row r="756" ht="15.75" customHeight="1">
      <c r="B756" s="4" t="s">
        <v>128</v>
      </c>
    </row>
    <row r="757" ht="15.75" customHeight="1">
      <c r="B757" s="4" t="s">
        <v>128</v>
      </c>
    </row>
    <row r="758" ht="15.75" customHeight="1">
      <c r="B758" s="4" t="s">
        <v>128</v>
      </c>
    </row>
    <row r="759" ht="15.75" customHeight="1">
      <c r="B759" s="4" t="s">
        <v>128</v>
      </c>
    </row>
    <row r="760" ht="15.75" customHeight="1">
      <c r="B760" s="4" t="s">
        <v>128</v>
      </c>
    </row>
    <row r="761" ht="15.75" customHeight="1">
      <c r="B761" s="4" t="s">
        <v>128</v>
      </c>
    </row>
    <row r="762" ht="15.75" customHeight="1">
      <c r="B762" s="4" t="s">
        <v>128</v>
      </c>
    </row>
    <row r="763" ht="15.75" customHeight="1">
      <c r="B763" s="4" t="s">
        <v>128</v>
      </c>
    </row>
    <row r="764" ht="15.75" customHeight="1">
      <c r="B764" s="4" t="s">
        <v>128</v>
      </c>
    </row>
    <row r="765" ht="15.75" customHeight="1">
      <c r="B765" s="4" t="s">
        <v>128</v>
      </c>
    </row>
    <row r="766" ht="15.75" customHeight="1">
      <c r="B766" s="4" t="s">
        <v>128</v>
      </c>
    </row>
    <row r="767" ht="15.75" customHeight="1">
      <c r="B767" s="4" t="s">
        <v>128</v>
      </c>
    </row>
    <row r="768" ht="15.75" customHeight="1">
      <c r="B768" s="4" t="s">
        <v>128</v>
      </c>
    </row>
    <row r="769" ht="15.75" customHeight="1">
      <c r="B769" s="4" t="s">
        <v>128</v>
      </c>
    </row>
    <row r="770" ht="15.75" customHeight="1">
      <c r="B770" s="4" t="s">
        <v>128</v>
      </c>
    </row>
    <row r="771" ht="15.75" customHeight="1">
      <c r="B771" s="4" t="s">
        <v>128</v>
      </c>
    </row>
    <row r="772" ht="15.75" customHeight="1">
      <c r="B772" s="4" t="s">
        <v>128</v>
      </c>
    </row>
    <row r="773" ht="15.75" customHeight="1">
      <c r="B773" s="4" t="s">
        <v>128</v>
      </c>
    </row>
    <row r="774" ht="15.75" customHeight="1">
      <c r="B774" s="4" t="s">
        <v>128</v>
      </c>
    </row>
    <row r="775" ht="15.75" customHeight="1">
      <c r="B775" s="4" t="s">
        <v>128</v>
      </c>
    </row>
    <row r="776" ht="15.75" customHeight="1">
      <c r="B776" s="4" t="s">
        <v>128</v>
      </c>
    </row>
    <row r="777" ht="15.75" customHeight="1">
      <c r="B777" s="4" t="s">
        <v>128</v>
      </c>
    </row>
    <row r="778" ht="15.75" customHeight="1">
      <c r="B778" s="4" t="s">
        <v>128</v>
      </c>
    </row>
    <row r="779" ht="15.75" customHeight="1">
      <c r="B779" s="4" t="s">
        <v>128</v>
      </c>
    </row>
    <row r="780" ht="15.75" customHeight="1">
      <c r="B780" s="4" t="s">
        <v>128</v>
      </c>
    </row>
    <row r="781" ht="15.75" customHeight="1">
      <c r="B781" s="4" t="s">
        <v>128</v>
      </c>
    </row>
    <row r="782" ht="15.75" customHeight="1">
      <c r="B782" s="4" t="s">
        <v>128</v>
      </c>
    </row>
    <row r="783" ht="15.75" customHeight="1">
      <c r="B783" s="4" t="s">
        <v>128</v>
      </c>
    </row>
    <row r="784" ht="15.75" customHeight="1">
      <c r="B784" s="4" t="s">
        <v>128</v>
      </c>
    </row>
    <row r="785" ht="15.75" customHeight="1">
      <c r="B785" s="4" t="s">
        <v>128</v>
      </c>
    </row>
    <row r="786" ht="15.75" customHeight="1">
      <c r="B786" s="4" t="s">
        <v>128</v>
      </c>
    </row>
    <row r="787" ht="15.75" customHeight="1">
      <c r="B787" s="4" t="s">
        <v>128</v>
      </c>
    </row>
    <row r="788" ht="15.75" customHeight="1">
      <c r="B788" s="4" t="s">
        <v>128</v>
      </c>
    </row>
    <row r="789" ht="15.75" customHeight="1">
      <c r="B789" s="4" t="s">
        <v>128</v>
      </c>
    </row>
    <row r="790" ht="15.75" customHeight="1">
      <c r="B790" s="4" t="s">
        <v>128</v>
      </c>
    </row>
    <row r="791" ht="15.75" customHeight="1">
      <c r="B791" s="4" t="s">
        <v>128</v>
      </c>
    </row>
    <row r="792" ht="15.75" customHeight="1">
      <c r="B792" s="4" t="s">
        <v>128</v>
      </c>
    </row>
    <row r="793" ht="15.75" customHeight="1">
      <c r="B793" s="4" t="s">
        <v>128</v>
      </c>
    </row>
    <row r="794" ht="15.75" customHeight="1">
      <c r="B794" s="4" t="s">
        <v>128</v>
      </c>
    </row>
    <row r="795" ht="15.75" customHeight="1">
      <c r="B795" s="4" t="s">
        <v>128</v>
      </c>
    </row>
    <row r="796" ht="15.75" customHeight="1">
      <c r="B796" s="4" t="s">
        <v>128</v>
      </c>
    </row>
    <row r="797" ht="15.75" customHeight="1">
      <c r="B797" s="4" t="s">
        <v>128</v>
      </c>
    </row>
    <row r="798" ht="15.75" customHeight="1">
      <c r="B798" s="4" t="s">
        <v>128</v>
      </c>
    </row>
    <row r="799" ht="15.75" customHeight="1">
      <c r="B799" s="4" t="s">
        <v>128</v>
      </c>
    </row>
    <row r="800" ht="15.75" customHeight="1">
      <c r="B800" s="4" t="s">
        <v>128</v>
      </c>
    </row>
    <row r="801" ht="15.75" customHeight="1">
      <c r="B801" s="4" t="s">
        <v>128</v>
      </c>
    </row>
    <row r="802" ht="15.75" customHeight="1">
      <c r="B802" s="4" t="s">
        <v>128</v>
      </c>
    </row>
    <row r="803" ht="15.75" customHeight="1">
      <c r="B803" s="4" t="s">
        <v>128</v>
      </c>
    </row>
    <row r="804" ht="15.75" customHeight="1">
      <c r="B804" s="4" t="s">
        <v>128</v>
      </c>
    </row>
    <row r="805" ht="15.75" customHeight="1">
      <c r="B805" s="4" t="s">
        <v>128</v>
      </c>
    </row>
    <row r="806" ht="15.75" customHeight="1">
      <c r="B806" s="4" t="s">
        <v>128</v>
      </c>
    </row>
    <row r="807" ht="15.75" customHeight="1">
      <c r="B807" s="4" t="s">
        <v>128</v>
      </c>
    </row>
    <row r="808" ht="15.75" customHeight="1">
      <c r="B808" s="4" t="s">
        <v>128</v>
      </c>
    </row>
    <row r="809" ht="15.75" customHeight="1">
      <c r="B809" s="4" t="s">
        <v>128</v>
      </c>
    </row>
    <row r="810" ht="15.75" customHeight="1">
      <c r="B810" s="4" t="s">
        <v>128</v>
      </c>
    </row>
    <row r="811" ht="15.75" customHeight="1">
      <c r="B811" s="4" t="s">
        <v>128</v>
      </c>
    </row>
    <row r="812" ht="15.75" customHeight="1">
      <c r="B812" s="4" t="s">
        <v>128</v>
      </c>
    </row>
    <row r="813" ht="15.75" customHeight="1">
      <c r="B813" s="4" t="s">
        <v>128</v>
      </c>
    </row>
    <row r="814" ht="15.75" customHeight="1">
      <c r="B814" s="4" t="s">
        <v>128</v>
      </c>
    </row>
    <row r="815" ht="15.75" customHeight="1">
      <c r="B815" s="4" t="s">
        <v>128</v>
      </c>
    </row>
    <row r="816" ht="15.75" customHeight="1">
      <c r="B816" s="4" t="s">
        <v>128</v>
      </c>
    </row>
    <row r="817" ht="15.75" customHeight="1">
      <c r="B817" s="4" t="s">
        <v>128</v>
      </c>
    </row>
    <row r="818" ht="15.75" customHeight="1">
      <c r="B818" s="4" t="s">
        <v>128</v>
      </c>
    </row>
    <row r="819" ht="15.75" customHeight="1">
      <c r="B819" s="4" t="s">
        <v>128</v>
      </c>
    </row>
    <row r="820" ht="15.75" customHeight="1">
      <c r="B820" s="4" t="s">
        <v>128</v>
      </c>
    </row>
    <row r="821" ht="15.75" customHeight="1">
      <c r="B821" s="4" t="s">
        <v>128</v>
      </c>
    </row>
    <row r="822" ht="15.75" customHeight="1">
      <c r="B822" s="4" t="s">
        <v>128</v>
      </c>
    </row>
    <row r="823" ht="15.75" customHeight="1">
      <c r="B823" s="4" t="s">
        <v>128</v>
      </c>
    </row>
    <row r="824" ht="15.75" customHeight="1">
      <c r="B824" s="4" t="s">
        <v>128</v>
      </c>
    </row>
    <row r="825" ht="15.75" customHeight="1">
      <c r="B825" s="4" t="s">
        <v>128</v>
      </c>
    </row>
    <row r="826" ht="15.75" customHeight="1">
      <c r="B826" s="4" t="s">
        <v>128</v>
      </c>
    </row>
    <row r="827" ht="15.75" customHeight="1">
      <c r="B827" s="4" t="s">
        <v>128</v>
      </c>
    </row>
    <row r="828" ht="15.75" customHeight="1">
      <c r="B828" s="4" t="s">
        <v>128</v>
      </c>
    </row>
    <row r="829" ht="15.75" customHeight="1">
      <c r="B829" s="4" t="s">
        <v>128</v>
      </c>
    </row>
    <row r="830" ht="15.75" customHeight="1">
      <c r="B830" s="4" t="s">
        <v>128</v>
      </c>
    </row>
    <row r="831" ht="15.75" customHeight="1">
      <c r="B831" s="4" t="s">
        <v>128</v>
      </c>
    </row>
    <row r="832" ht="15.75" customHeight="1">
      <c r="B832" s="4" t="s">
        <v>128</v>
      </c>
    </row>
    <row r="833" ht="15.75" customHeight="1">
      <c r="B833" s="4" t="s">
        <v>128</v>
      </c>
    </row>
    <row r="834" ht="15.75" customHeight="1">
      <c r="B834" s="4" t="s">
        <v>128</v>
      </c>
    </row>
    <row r="835" ht="15.75" customHeight="1">
      <c r="B835" s="4" t="s">
        <v>128</v>
      </c>
    </row>
    <row r="836" ht="15.75" customHeight="1">
      <c r="B836" s="4" t="s">
        <v>128</v>
      </c>
    </row>
    <row r="837" ht="15.75" customHeight="1">
      <c r="B837" s="4" t="s">
        <v>128</v>
      </c>
    </row>
    <row r="838" ht="15.75" customHeight="1">
      <c r="B838" s="4" t="s">
        <v>128</v>
      </c>
    </row>
    <row r="839" ht="15.75" customHeight="1">
      <c r="B839" s="4" t="s">
        <v>128</v>
      </c>
    </row>
    <row r="840" ht="15.75" customHeight="1">
      <c r="B840" s="4" t="s">
        <v>128</v>
      </c>
    </row>
    <row r="841" ht="15.75" customHeight="1">
      <c r="B841" s="4" t="s">
        <v>128</v>
      </c>
    </row>
    <row r="842" ht="15.75" customHeight="1">
      <c r="B842" s="4" t="s">
        <v>128</v>
      </c>
    </row>
    <row r="843" ht="15.75" customHeight="1">
      <c r="B843" s="4" t="s">
        <v>128</v>
      </c>
    </row>
    <row r="844" ht="15.75" customHeight="1">
      <c r="B844" s="4" t="s">
        <v>128</v>
      </c>
    </row>
    <row r="845" ht="15.75" customHeight="1">
      <c r="B845" s="4" t="s">
        <v>128</v>
      </c>
    </row>
    <row r="846" ht="15.75" customHeight="1">
      <c r="B846" s="4" t="s">
        <v>128</v>
      </c>
    </row>
    <row r="847" ht="15.75" customHeight="1">
      <c r="B847" s="4" t="s">
        <v>128</v>
      </c>
    </row>
    <row r="848" ht="15.75" customHeight="1">
      <c r="B848" s="4" t="s">
        <v>128</v>
      </c>
    </row>
    <row r="849" ht="15.75" customHeight="1">
      <c r="B849" s="4" t="s">
        <v>128</v>
      </c>
    </row>
    <row r="850" ht="15.75" customHeight="1">
      <c r="B850" s="4" t="s">
        <v>128</v>
      </c>
    </row>
    <row r="851" ht="15.75" customHeight="1">
      <c r="B851" s="4" t="s">
        <v>128</v>
      </c>
    </row>
    <row r="852" ht="15.75" customHeight="1">
      <c r="B852" s="4" t="s">
        <v>128</v>
      </c>
    </row>
    <row r="853" ht="15.75" customHeight="1">
      <c r="B853" s="4" t="s">
        <v>128</v>
      </c>
    </row>
    <row r="854" ht="15.75" customHeight="1">
      <c r="B854" s="4" t="s">
        <v>128</v>
      </c>
    </row>
    <row r="855" ht="15.75" customHeight="1">
      <c r="B855" s="4" t="s">
        <v>128</v>
      </c>
    </row>
    <row r="856" ht="15.75" customHeight="1">
      <c r="B856" s="4" t="s">
        <v>128</v>
      </c>
    </row>
    <row r="857" ht="15.75" customHeight="1">
      <c r="B857" s="4" t="s">
        <v>128</v>
      </c>
    </row>
    <row r="858" ht="15.75" customHeight="1">
      <c r="B858" s="4" t="s">
        <v>128</v>
      </c>
    </row>
    <row r="859" ht="15.75" customHeight="1">
      <c r="B859" s="4" t="s">
        <v>128</v>
      </c>
    </row>
    <row r="860" ht="15.75" customHeight="1">
      <c r="B860" s="4" t="s">
        <v>128</v>
      </c>
    </row>
    <row r="861" ht="15.75" customHeight="1">
      <c r="B861" s="4" t="s">
        <v>128</v>
      </c>
    </row>
    <row r="862" ht="15.75" customHeight="1">
      <c r="B862" s="4" t="s">
        <v>128</v>
      </c>
    </row>
    <row r="863" ht="15.75" customHeight="1">
      <c r="B863" s="4" t="s">
        <v>128</v>
      </c>
    </row>
    <row r="864" ht="15.75" customHeight="1">
      <c r="B864" s="4" t="s">
        <v>128</v>
      </c>
    </row>
    <row r="865" ht="15.75" customHeight="1">
      <c r="B865" s="4" t="s">
        <v>128</v>
      </c>
    </row>
    <row r="866" ht="15.75" customHeight="1">
      <c r="B866" s="4" t="s">
        <v>128</v>
      </c>
    </row>
    <row r="867" ht="15.75" customHeight="1">
      <c r="B867" s="4" t="s">
        <v>128</v>
      </c>
    </row>
    <row r="868" ht="15.75" customHeight="1">
      <c r="B868" s="4" t="s">
        <v>128</v>
      </c>
    </row>
    <row r="869" ht="15.75" customHeight="1">
      <c r="B869" s="4" t="s">
        <v>128</v>
      </c>
    </row>
    <row r="870" ht="15.75" customHeight="1">
      <c r="B870" s="4" t="s">
        <v>128</v>
      </c>
    </row>
    <row r="871" ht="15.75" customHeight="1">
      <c r="B871" s="4" t="s">
        <v>128</v>
      </c>
    </row>
    <row r="872" ht="15.75" customHeight="1">
      <c r="B872" s="4" t="s">
        <v>128</v>
      </c>
    </row>
    <row r="873" ht="15.75" customHeight="1">
      <c r="B873" s="4" t="s">
        <v>128</v>
      </c>
    </row>
    <row r="874" ht="15.75" customHeight="1">
      <c r="B874" s="4" t="s">
        <v>128</v>
      </c>
    </row>
    <row r="875" ht="15.75" customHeight="1">
      <c r="B875" s="4" t="s">
        <v>128</v>
      </c>
    </row>
    <row r="876" ht="15.75" customHeight="1">
      <c r="B876" s="4" t="s">
        <v>128</v>
      </c>
    </row>
    <row r="877" ht="15.75" customHeight="1">
      <c r="B877" s="4" t="s">
        <v>128</v>
      </c>
    </row>
    <row r="878" ht="15.75" customHeight="1">
      <c r="B878" s="4" t="s">
        <v>128</v>
      </c>
    </row>
    <row r="879" ht="15.75" customHeight="1">
      <c r="B879" s="4" t="s">
        <v>128</v>
      </c>
    </row>
    <row r="880" ht="15.75" customHeight="1">
      <c r="B880" s="4" t="s">
        <v>128</v>
      </c>
    </row>
    <row r="881" ht="15.75" customHeight="1">
      <c r="B881" s="4" t="s">
        <v>128</v>
      </c>
    </row>
    <row r="882" ht="15.75" customHeight="1">
      <c r="B882" s="4" t="s">
        <v>128</v>
      </c>
    </row>
    <row r="883" ht="15.75" customHeight="1">
      <c r="B883" s="4" t="s">
        <v>128</v>
      </c>
    </row>
    <row r="884" ht="15.75" customHeight="1">
      <c r="B884" s="4" t="s">
        <v>128</v>
      </c>
    </row>
    <row r="885" ht="15.75" customHeight="1">
      <c r="B885" s="4" t="s">
        <v>128</v>
      </c>
    </row>
    <row r="886" ht="15.75" customHeight="1">
      <c r="B886" s="4" t="s">
        <v>128</v>
      </c>
    </row>
    <row r="887" ht="15.75" customHeight="1">
      <c r="B887" s="4" t="s">
        <v>128</v>
      </c>
    </row>
    <row r="888" ht="15.75" customHeight="1">
      <c r="B888" s="4" t="s">
        <v>128</v>
      </c>
    </row>
    <row r="889" ht="15.75" customHeight="1">
      <c r="B889" s="4" t="s">
        <v>128</v>
      </c>
    </row>
    <row r="890" ht="15.75" customHeight="1">
      <c r="B890" s="4" t="s">
        <v>128</v>
      </c>
    </row>
    <row r="891" ht="15.75" customHeight="1">
      <c r="B891" s="4" t="s">
        <v>128</v>
      </c>
    </row>
    <row r="892" ht="15.75" customHeight="1">
      <c r="B892" s="4" t="s">
        <v>128</v>
      </c>
    </row>
    <row r="893" ht="15.75" customHeight="1">
      <c r="B893" s="4" t="s">
        <v>128</v>
      </c>
    </row>
    <row r="894" ht="15.75" customHeight="1">
      <c r="B894" s="4" t="s">
        <v>128</v>
      </c>
    </row>
    <row r="895" ht="15.75" customHeight="1">
      <c r="B895" s="4" t="s">
        <v>128</v>
      </c>
    </row>
    <row r="896" ht="15.75" customHeight="1">
      <c r="B896" s="4" t="s">
        <v>128</v>
      </c>
    </row>
    <row r="897" ht="15.75" customHeight="1">
      <c r="B897" s="4" t="s">
        <v>128</v>
      </c>
    </row>
    <row r="898" ht="15.75" customHeight="1">
      <c r="B898" s="4" t="s">
        <v>128</v>
      </c>
    </row>
    <row r="899" ht="15.75" customHeight="1">
      <c r="B899" s="4" t="s">
        <v>128</v>
      </c>
    </row>
    <row r="900" ht="15.75" customHeight="1">
      <c r="B900" s="4" t="s">
        <v>128</v>
      </c>
    </row>
    <row r="901" ht="15.75" customHeight="1">
      <c r="B901" s="4" t="s">
        <v>128</v>
      </c>
    </row>
    <row r="902" ht="15.75" customHeight="1">
      <c r="B902" s="4" t="s">
        <v>128</v>
      </c>
    </row>
    <row r="903" ht="15.75" customHeight="1">
      <c r="B903" s="4" t="s">
        <v>128</v>
      </c>
    </row>
    <row r="904" ht="15.75" customHeight="1">
      <c r="B904" s="4" t="s">
        <v>128</v>
      </c>
    </row>
    <row r="905" ht="15.75" customHeight="1">
      <c r="B905" s="4" t="s">
        <v>128</v>
      </c>
    </row>
    <row r="906" ht="15.75" customHeight="1">
      <c r="B906" s="4" t="s">
        <v>128</v>
      </c>
    </row>
    <row r="907" ht="15.75" customHeight="1">
      <c r="B907" s="4" t="s">
        <v>128</v>
      </c>
    </row>
    <row r="908" ht="15.75" customHeight="1">
      <c r="B908" s="4" t="s">
        <v>128</v>
      </c>
    </row>
    <row r="909" ht="15.75" customHeight="1">
      <c r="B909" s="4" t="s">
        <v>128</v>
      </c>
    </row>
    <row r="910" ht="15.75" customHeight="1">
      <c r="B910" s="4" t="s">
        <v>128</v>
      </c>
    </row>
    <row r="911" ht="15.75" customHeight="1">
      <c r="B911" s="4" t="s">
        <v>128</v>
      </c>
    </row>
    <row r="912" ht="15.75" customHeight="1">
      <c r="B912" s="4" t="s">
        <v>128</v>
      </c>
    </row>
    <row r="913" ht="15.75" customHeight="1">
      <c r="B913" s="4" t="s">
        <v>128</v>
      </c>
    </row>
    <row r="914" ht="15.75" customHeight="1">
      <c r="B914" s="4" t="s">
        <v>128</v>
      </c>
    </row>
    <row r="915" ht="15.75" customHeight="1">
      <c r="B915" s="4" t="s">
        <v>128</v>
      </c>
    </row>
    <row r="916" ht="15.75" customHeight="1">
      <c r="B916" s="4" t="s">
        <v>128</v>
      </c>
    </row>
    <row r="917" ht="15.75" customHeight="1">
      <c r="B917" s="4" t="s">
        <v>128</v>
      </c>
    </row>
    <row r="918" ht="15.75" customHeight="1">
      <c r="B918" s="4" t="s">
        <v>128</v>
      </c>
    </row>
    <row r="919" ht="15.75" customHeight="1">
      <c r="B919" s="4" t="s">
        <v>128</v>
      </c>
    </row>
    <row r="920" ht="15.75" customHeight="1">
      <c r="B920" s="4" t="s">
        <v>128</v>
      </c>
    </row>
    <row r="921" ht="15.75" customHeight="1">
      <c r="B921" s="4" t="s">
        <v>128</v>
      </c>
    </row>
    <row r="922" ht="15.75" customHeight="1">
      <c r="B922" s="4" t="s">
        <v>128</v>
      </c>
    </row>
    <row r="923" ht="15.75" customHeight="1">
      <c r="B923" s="4" t="s">
        <v>128</v>
      </c>
    </row>
    <row r="924" ht="15.75" customHeight="1">
      <c r="B924" s="4" t="s">
        <v>128</v>
      </c>
    </row>
    <row r="925" ht="15.75" customHeight="1">
      <c r="B925" s="4" t="s">
        <v>128</v>
      </c>
    </row>
    <row r="926" ht="15.75" customHeight="1">
      <c r="B926" s="4" t="s">
        <v>128</v>
      </c>
    </row>
    <row r="927" ht="15.75" customHeight="1">
      <c r="B927" s="4" t="s">
        <v>128</v>
      </c>
    </row>
    <row r="928" ht="15.75" customHeight="1">
      <c r="B928" s="4" t="s">
        <v>128</v>
      </c>
    </row>
    <row r="929" ht="15.75" customHeight="1">
      <c r="B929" s="4" t="s">
        <v>128</v>
      </c>
    </row>
    <row r="930" ht="15.75" customHeight="1">
      <c r="B930" s="4" t="s">
        <v>128</v>
      </c>
    </row>
    <row r="931" ht="15.75" customHeight="1">
      <c r="B931" s="4" t="s">
        <v>128</v>
      </c>
    </row>
    <row r="932" ht="15.75" customHeight="1">
      <c r="B932" s="4" t="s">
        <v>128</v>
      </c>
    </row>
    <row r="933" ht="15.75" customHeight="1">
      <c r="B933" s="4" t="s">
        <v>128</v>
      </c>
    </row>
    <row r="934" ht="15.75" customHeight="1">
      <c r="B934" s="4" t="s">
        <v>128</v>
      </c>
    </row>
    <row r="935" ht="15.75" customHeight="1">
      <c r="B935" s="4" t="s">
        <v>128</v>
      </c>
    </row>
    <row r="936" ht="15.75" customHeight="1">
      <c r="B936" s="4" t="s">
        <v>128</v>
      </c>
    </row>
    <row r="937" ht="15.75" customHeight="1">
      <c r="B937" s="4" t="s">
        <v>128</v>
      </c>
    </row>
    <row r="938" ht="15.75" customHeight="1">
      <c r="B938" s="4" t="s">
        <v>128</v>
      </c>
    </row>
    <row r="939" ht="15.75" customHeight="1">
      <c r="B939" s="4" t="s">
        <v>128</v>
      </c>
    </row>
    <row r="940" ht="15.75" customHeight="1">
      <c r="B940" s="4" t="s">
        <v>128</v>
      </c>
    </row>
    <row r="941" ht="15.75" customHeight="1">
      <c r="B941" s="4" t="s">
        <v>128</v>
      </c>
    </row>
    <row r="942" ht="15.75" customHeight="1">
      <c r="B942" s="4" t="s">
        <v>128</v>
      </c>
    </row>
    <row r="943" ht="15.75" customHeight="1">
      <c r="B943" s="4" t="s">
        <v>128</v>
      </c>
    </row>
    <row r="944" ht="15.75" customHeight="1">
      <c r="B944" s="4" t="s">
        <v>128</v>
      </c>
    </row>
    <row r="945" ht="15.75" customHeight="1">
      <c r="B945" s="4" t="s">
        <v>128</v>
      </c>
    </row>
    <row r="946" ht="15.75" customHeight="1">
      <c r="B946" s="4" t="s">
        <v>128</v>
      </c>
    </row>
    <row r="947" ht="15.75" customHeight="1">
      <c r="B947" s="4" t="s">
        <v>128</v>
      </c>
    </row>
    <row r="948" ht="15.75" customHeight="1">
      <c r="B948" s="4" t="s">
        <v>128</v>
      </c>
    </row>
    <row r="949" ht="15.75" customHeight="1">
      <c r="B949" s="4" t="s">
        <v>128</v>
      </c>
    </row>
    <row r="950" ht="15.75" customHeight="1">
      <c r="B950" s="4" t="s">
        <v>128</v>
      </c>
    </row>
    <row r="951" ht="15.75" customHeight="1">
      <c r="B951" s="4" t="s">
        <v>128</v>
      </c>
    </row>
    <row r="952" ht="15.75" customHeight="1">
      <c r="B952" s="4" t="s">
        <v>128</v>
      </c>
    </row>
    <row r="953" ht="15.75" customHeight="1">
      <c r="B953" s="4" t="s">
        <v>128</v>
      </c>
    </row>
    <row r="954" ht="15.75" customHeight="1">
      <c r="B954" s="4" t="s">
        <v>128</v>
      </c>
    </row>
    <row r="955" ht="15.75" customHeight="1">
      <c r="B955" s="4" t="s">
        <v>128</v>
      </c>
    </row>
    <row r="956" ht="15.75" customHeight="1">
      <c r="B956" s="4" t="s">
        <v>128</v>
      </c>
    </row>
    <row r="957" ht="15.75" customHeight="1">
      <c r="B957" s="4" t="s">
        <v>128</v>
      </c>
    </row>
    <row r="958" ht="15.75" customHeight="1">
      <c r="B958" s="4" t="s">
        <v>128</v>
      </c>
    </row>
    <row r="959" ht="15.75" customHeight="1">
      <c r="B959" s="4" t="s">
        <v>128</v>
      </c>
    </row>
    <row r="960" ht="15.75" customHeight="1">
      <c r="B960" s="4" t="s">
        <v>128</v>
      </c>
    </row>
    <row r="961" ht="15.75" customHeight="1">
      <c r="B961" s="4" t="s">
        <v>128</v>
      </c>
    </row>
    <row r="962" ht="15.75" customHeight="1">
      <c r="B962" s="4" t="s">
        <v>128</v>
      </c>
    </row>
    <row r="963" ht="15.75" customHeight="1">
      <c r="B963" s="4" t="s">
        <v>128</v>
      </c>
    </row>
    <row r="964" ht="15.75" customHeight="1">
      <c r="B964" s="4" t="s">
        <v>128</v>
      </c>
    </row>
    <row r="965" ht="15.75" customHeight="1">
      <c r="B965" s="4" t="s">
        <v>128</v>
      </c>
    </row>
    <row r="966" ht="15.75" customHeight="1">
      <c r="B966" s="4" t="s">
        <v>128</v>
      </c>
    </row>
    <row r="967" ht="15.75" customHeight="1">
      <c r="B967" s="4" t="s">
        <v>128</v>
      </c>
    </row>
    <row r="968" ht="15.75" customHeight="1">
      <c r="B968" s="4" t="s">
        <v>128</v>
      </c>
    </row>
    <row r="969" ht="15.75" customHeight="1">
      <c r="B969" s="4" t="s">
        <v>128</v>
      </c>
    </row>
    <row r="970" ht="15.75" customHeight="1">
      <c r="B970" s="4" t="s">
        <v>128</v>
      </c>
    </row>
    <row r="971" ht="15.75" customHeight="1">
      <c r="B971" s="4" t="s">
        <v>128</v>
      </c>
    </row>
    <row r="972" ht="15.75" customHeight="1">
      <c r="B972" s="4" t="s">
        <v>128</v>
      </c>
    </row>
    <row r="973" ht="15.75" customHeight="1">
      <c r="B973" s="4" t="s">
        <v>128</v>
      </c>
    </row>
    <row r="974" ht="15.75" customHeight="1">
      <c r="B974" s="4" t="s">
        <v>128</v>
      </c>
    </row>
    <row r="975" ht="15.75" customHeight="1">
      <c r="B975" s="4" t="s">
        <v>128</v>
      </c>
    </row>
    <row r="976" ht="15.75" customHeight="1">
      <c r="B976" s="4" t="s">
        <v>128</v>
      </c>
    </row>
    <row r="977" ht="15.75" customHeight="1">
      <c r="B977" s="4" t="s">
        <v>128</v>
      </c>
    </row>
    <row r="978" ht="15.75" customHeight="1">
      <c r="B978" s="4" t="s">
        <v>128</v>
      </c>
    </row>
    <row r="979" ht="15.75" customHeight="1">
      <c r="B979" s="4" t="s">
        <v>128</v>
      </c>
    </row>
    <row r="980" ht="15.75" customHeight="1">
      <c r="B980" s="4" t="s">
        <v>128</v>
      </c>
    </row>
    <row r="981" ht="15.75" customHeight="1">
      <c r="B981" s="4" t="s">
        <v>128</v>
      </c>
    </row>
    <row r="982" ht="15.75" customHeight="1">
      <c r="B982" s="4" t="s">
        <v>128</v>
      </c>
    </row>
    <row r="983" ht="15.75" customHeight="1">
      <c r="B983" s="4" t="s">
        <v>128</v>
      </c>
    </row>
    <row r="984" ht="15.75" customHeight="1">
      <c r="B984" s="4" t="s">
        <v>128</v>
      </c>
    </row>
    <row r="985" ht="15.75" customHeight="1">
      <c r="B985" s="4" t="s">
        <v>128</v>
      </c>
    </row>
    <row r="986" ht="15.75" customHeight="1">
      <c r="B986" s="4" t="s">
        <v>128</v>
      </c>
    </row>
    <row r="987" ht="15.75" customHeight="1">
      <c r="B987" s="4" t="s">
        <v>128</v>
      </c>
    </row>
    <row r="988" ht="15.75" customHeight="1">
      <c r="B988" s="4" t="s">
        <v>128</v>
      </c>
    </row>
    <row r="989" ht="15.75" customHeight="1">
      <c r="B989" s="4" t="s">
        <v>128</v>
      </c>
    </row>
    <row r="990" ht="15.75" customHeight="1">
      <c r="B990" s="4" t="s">
        <v>128</v>
      </c>
    </row>
    <row r="991" ht="15.75" customHeight="1">
      <c r="B991" s="4" t="s">
        <v>128</v>
      </c>
    </row>
    <row r="992" ht="15.75" customHeight="1">
      <c r="B992" s="4" t="s">
        <v>128</v>
      </c>
    </row>
    <row r="993" ht="15.75" customHeight="1">
      <c r="B993" s="4" t="s">
        <v>128</v>
      </c>
    </row>
    <row r="994" ht="15.75" customHeight="1">
      <c r="B994" s="4" t="s">
        <v>128</v>
      </c>
    </row>
    <row r="995" ht="15.75" customHeight="1">
      <c r="B995" s="4" t="s">
        <v>128</v>
      </c>
    </row>
    <row r="996" ht="15.75" customHeight="1">
      <c r="B996" s="4" t="s">
        <v>128</v>
      </c>
    </row>
    <row r="997" ht="15.75" customHeight="1">
      <c r="B997" s="4" t="s">
        <v>128</v>
      </c>
    </row>
    <row r="998" ht="15.75" customHeight="1">
      <c r="B998" s="4" t="s">
        <v>128</v>
      </c>
    </row>
    <row r="999" ht="15.75" customHeight="1">
      <c r="B999" s="4" t="s">
        <v>128</v>
      </c>
    </row>
    <row r="1000" ht="15.75" customHeight="1">
      <c r="B1000" s="4" t="s">
        <v>128</v>
      </c>
    </row>
    <row r="1001" ht="15.75" customHeight="1">
      <c r="B1001" s="4" t="s">
        <v>128</v>
      </c>
    </row>
    <row r="1002" ht="15.75" customHeight="1">
      <c r="B1002" s="4" t="s">
        <v>128</v>
      </c>
    </row>
    <row r="1003" ht="15.75" customHeight="1">
      <c r="B1003" s="4" t="s">
        <v>128</v>
      </c>
    </row>
    <row r="1004" ht="15.75" customHeight="1">
      <c r="B1004" s="4" t="s">
        <v>128</v>
      </c>
    </row>
    <row r="1005" ht="15.75" customHeight="1">
      <c r="B1005" s="4" t="s">
        <v>128</v>
      </c>
    </row>
    <row r="1006" ht="15.75" customHeight="1">
      <c r="B1006" s="4" t="s">
        <v>128</v>
      </c>
    </row>
    <row r="1007" ht="15.75" customHeight="1">
      <c r="B1007" s="4" t="s">
        <v>128</v>
      </c>
    </row>
  </sheetData>
  <autoFilter ref="$A$1:$G$149"/>
  <dataValidations>
    <dataValidation type="list" allowBlank="1" showErrorMessage="1" sqref="E2:E149">
      <formula1>"Cash,GPay,Pending"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4.0"/>
    <col customWidth="1" min="4" max="5" width="12.0"/>
    <col customWidth="1" min="6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>
        <v>46.0</v>
      </c>
      <c r="B2" s="4">
        <f>COUNTIF('Complete List'!A$2:A1001, A2)</f>
        <v>1</v>
      </c>
      <c r="C2" s="4">
        <f>SUMIF('Complete List'!A$2:A1001, A2, 'Complete List'!D$2:D1001)</f>
        <v>350</v>
      </c>
      <c r="D2" s="4">
        <f>SUMIF('Complete List'!A$2:A1001, A2, 'Complete List'!F$2:F1001)</f>
        <v>350</v>
      </c>
      <c r="E2" s="4">
        <f>SUMIF('Complete List'!A$2:A1001, A2, 'Complete List'!G$2:G1001)</f>
        <v>0</v>
      </c>
    </row>
    <row r="3">
      <c r="A3" s="4">
        <v>44.0</v>
      </c>
      <c r="B3" s="4">
        <f>COUNTIF('Complete List'!A$2:A1001, A3)</f>
        <v>5</v>
      </c>
      <c r="C3" s="4">
        <f>SUMIF('Complete List'!A$2:A1001, A3, 'Complete List'!D$2:D1001)</f>
        <v>1250</v>
      </c>
      <c r="D3" s="4">
        <f>SUMIF('Complete List'!A$2:A1001, A3, 'Complete List'!F$2:F1001)</f>
        <v>200</v>
      </c>
      <c r="E3" s="4">
        <f>SUMIF('Complete List'!A$2:A1001, A3, 'Complete List'!G$2:G1001)</f>
        <v>1050</v>
      </c>
    </row>
    <row r="4">
      <c r="A4" s="4">
        <v>42.0</v>
      </c>
      <c r="B4" s="4">
        <f>COUNTIF('Complete List'!A$2:A1001, A4)</f>
        <v>22</v>
      </c>
      <c r="C4" s="4">
        <f>SUMIF('Complete List'!A$2:A1001, A4, 'Complete List'!D$2:D1001)</f>
        <v>4350</v>
      </c>
      <c r="D4" s="4">
        <f>SUMIF('Complete List'!A$2:A1001, A4, 'Complete List'!F$2:F1001)</f>
        <v>800</v>
      </c>
      <c r="E4" s="4">
        <f>SUMIF('Complete List'!A$2:A1001, A4, 'Complete List'!G$2:G1001)</f>
        <v>3000</v>
      </c>
    </row>
    <row r="5">
      <c r="A5" s="4">
        <v>40.0</v>
      </c>
      <c r="B5" s="4">
        <f>COUNTIF('Complete List'!A$2:A1001, A5)</f>
        <v>36</v>
      </c>
      <c r="C5" s="4">
        <f>SUMIF('Complete List'!A$2:A1001, A5, 'Complete List'!D$2:D1001)</f>
        <v>6900</v>
      </c>
      <c r="D5" s="4">
        <f>SUMIF('Complete List'!A$2:A1001, A5, 'Complete List'!F$2:F1001)</f>
        <v>3150</v>
      </c>
      <c r="E5" s="4">
        <f>SUMIF('Complete List'!A$2:A1001, A5, 'Complete List'!G$2:G1001)</f>
        <v>3750</v>
      </c>
    </row>
    <row r="6">
      <c r="A6" s="4">
        <v>38.0</v>
      </c>
      <c r="B6" s="4">
        <f>COUNTIF('Complete List'!A$2:A1001, A6)</f>
        <v>30</v>
      </c>
      <c r="C6" s="4">
        <f>SUMIF('Complete List'!A$2:A1001, A6, 'Complete List'!D$2:D1001)</f>
        <v>4900</v>
      </c>
      <c r="D6" s="4">
        <f>SUMIF('Complete List'!A$2:A1001, A6, 'Complete List'!F$2:F1001)</f>
        <v>2100</v>
      </c>
      <c r="E6" s="4">
        <f>SUMIF('Complete List'!A$2:A1001, A6, 'Complete List'!G$2:G1001)</f>
        <v>2800</v>
      </c>
    </row>
    <row r="7">
      <c r="A7" s="4">
        <v>36.0</v>
      </c>
      <c r="B7" s="4">
        <f>COUNTIF('Complete List'!A$2:A1001, A7)</f>
        <v>11</v>
      </c>
      <c r="C7" s="4">
        <f>SUMIF('Complete List'!A$2:A1001, A7, 'Complete List'!D$2:D1001)</f>
        <v>2000</v>
      </c>
      <c r="D7" s="4">
        <f>SUMIF('Complete List'!A$2:A1001, A7, 'Complete List'!F$2:F1001)</f>
        <v>1200</v>
      </c>
      <c r="E7" s="4">
        <f>SUMIF('Complete List'!A$2:A1001, A7, 'Complete List'!G$2:G1001)</f>
        <v>800</v>
      </c>
    </row>
    <row r="8">
      <c r="A8" s="4">
        <v>32.0</v>
      </c>
      <c r="B8" s="4">
        <f>COUNTIF('Complete List'!A$2:A1001, A8)</f>
        <v>7</v>
      </c>
      <c r="C8" s="4">
        <f>SUMIF('Complete List'!A$2:A1001, A8, 'Complete List'!D$2:D1001)</f>
        <v>1450</v>
      </c>
      <c r="D8" s="4">
        <f>SUMIF('Complete List'!A$2:A1001, A8, 'Complete List'!F$2:F1001)</f>
        <v>850</v>
      </c>
      <c r="E8" s="4">
        <f>SUMIF('Complete List'!A$2:A1001, A8, 'Complete List'!G$2:G1001)</f>
        <v>600</v>
      </c>
    </row>
    <row r="9">
      <c r="A9" s="4">
        <v>30.0</v>
      </c>
      <c r="B9" s="4">
        <f>COUNTIF('Complete List'!A$2:A1001, A9)</f>
        <v>5</v>
      </c>
      <c r="C9" s="4">
        <f>SUMIF('Complete List'!A$2:A1001, A9, 'Complete List'!D$2:D1001)</f>
        <v>600</v>
      </c>
      <c r="D9" s="4">
        <f>SUMIF('Complete List'!A$2:A1001, A9, 'Complete List'!F$2:F1001)</f>
        <v>400</v>
      </c>
      <c r="E9" s="4">
        <f>SUMIF('Complete List'!A$2:A1001, A9, 'Complete List'!G$2:G1001)</f>
        <v>200</v>
      </c>
    </row>
    <row r="10">
      <c r="A10" s="4">
        <v>28.0</v>
      </c>
      <c r="B10" s="4">
        <f>COUNTIF('Complete List'!A$2:A1001, A10)</f>
        <v>5</v>
      </c>
      <c r="C10" s="4">
        <f>SUMIF('Complete List'!A$2:A1001, A10, 'Complete List'!D$2:D1001)</f>
        <v>550</v>
      </c>
      <c r="D10" s="4">
        <f>SUMIF('Complete List'!A$2:A1001, A10, 'Complete List'!F$2:F1001)</f>
        <v>350</v>
      </c>
      <c r="E10" s="4">
        <f>SUMIF('Complete List'!A$2:A1001, A10, 'Complete List'!G$2:G1001)</f>
        <v>200</v>
      </c>
    </row>
    <row r="11">
      <c r="A11" s="4">
        <v>26.0</v>
      </c>
      <c r="B11" s="4">
        <f>COUNTIF('Complete List'!A$2:A1001, A11)</f>
        <v>3</v>
      </c>
      <c r="C11" s="4">
        <f>SUMIF('Complete List'!A$2:A1001, A11, 'Complete List'!D$2:D1001)</f>
        <v>400</v>
      </c>
      <c r="D11" s="4">
        <f>SUMIF('Complete List'!A$2:A1001, A11, 'Complete List'!F$2:F1001)</f>
        <v>200</v>
      </c>
      <c r="E11" s="4">
        <f>SUMIF('Complete List'!A$2:A1001, A11, 'Complete List'!G$2:G1001)</f>
        <v>200</v>
      </c>
    </row>
    <row r="12">
      <c r="A12" s="4">
        <v>24.0</v>
      </c>
      <c r="B12" s="4">
        <f>COUNTIF('Complete List'!A$2:A1001, A12)</f>
        <v>10</v>
      </c>
      <c r="C12" s="4">
        <f>SUMIF('Complete List'!A$2:A1001, A12, 'Complete List'!D$2:D1001)</f>
        <v>1700</v>
      </c>
      <c r="D12" s="4">
        <f>SUMIF('Complete List'!A$2:A1001, A12, 'Complete List'!F$2:F1001)</f>
        <v>500</v>
      </c>
      <c r="E12" s="4">
        <f>SUMIF('Complete List'!A$2:A1001, A12, 'Complete List'!G$2:G1001)</f>
        <v>1200</v>
      </c>
    </row>
    <row r="13">
      <c r="A13" s="4">
        <v>22.0</v>
      </c>
      <c r="B13" s="4">
        <f>COUNTIF('Complete List'!A$2:A1001, A13)</f>
        <v>7</v>
      </c>
      <c r="C13" s="4">
        <f>SUMIF('Complete List'!A$2:A1001, A13, 'Complete List'!D$2:D1001)</f>
        <v>1100</v>
      </c>
      <c r="D13" s="4">
        <f>SUMIF('Complete List'!A$2:A1001, A13, 'Complete List'!F$2:F1001)</f>
        <v>450</v>
      </c>
      <c r="E13" s="4">
        <f>SUMIF('Complete List'!A$2:A1001, A13, 'Complete List'!G$2:G1001)</f>
        <v>650</v>
      </c>
    </row>
    <row r="14">
      <c r="A14" s="4">
        <v>20.0</v>
      </c>
      <c r="B14" s="4">
        <f>COUNTIF('Complete List'!A$2:A1001, A14)</f>
        <v>5</v>
      </c>
      <c r="C14" s="4">
        <f>SUMIF('Complete List'!A$2:A1001, A14, 'Complete List'!D$2:D1001)</f>
        <v>900</v>
      </c>
      <c r="D14" s="4">
        <f>SUMIF('Complete List'!A$2:A1001, A14, 'Complete List'!F$2:F1001)</f>
        <v>0</v>
      </c>
      <c r="E14" s="4">
        <f>SUMIF('Complete List'!A$2:A1001, A14, 'Complete List'!G$2:G1001)</f>
        <v>900</v>
      </c>
    </row>
    <row r="16">
      <c r="C16" s="4">
        <f t="shared" ref="C16:E16" si="1">SUM(C2:C14)</f>
        <v>26450</v>
      </c>
      <c r="D16" s="4">
        <f t="shared" si="1"/>
        <v>10550</v>
      </c>
      <c r="E16" s="4">
        <f t="shared" si="1"/>
        <v>15350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26" width="8.71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4">
        <f>COUNTIF('Complete List'!E$2:E1000, A2)</f>
        <v>46</v>
      </c>
      <c r="C2" s="4">
        <f>SUMIF('Complete List'!E$2:E1000, A2, 'Complete List'!D$2:D1000)</f>
        <v>10750</v>
      </c>
    </row>
    <row r="3">
      <c r="A3" s="2" t="s">
        <v>5</v>
      </c>
      <c r="B3" s="4">
        <f>COUNTIF('Complete List'!E$2:E1000, A3)</f>
        <v>61</v>
      </c>
      <c r="C3" s="4">
        <f>SUMIF('Complete List'!E$2:E1000, A3, 'Complete List'!D$2:D1000)</f>
        <v>15350</v>
      </c>
    </row>
    <row r="4">
      <c r="A4" s="2" t="s">
        <v>12</v>
      </c>
      <c r="B4" s="4">
        <f>COUNTIF('Complete List'!E$2:E1000, A4)</f>
        <v>3</v>
      </c>
      <c r="C4" s="4">
        <f>SUMIF('Complete List'!E$2:E1000, A4, 'Complete List'!D$2:D1000)</f>
        <v>0</v>
      </c>
    </row>
    <row r="5">
      <c r="A5" s="4" t="s">
        <v>13</v>
      </c>
      <c r="B5" s="4">
        <f>COUNTIF('Complete List'!E$2:E1000, A5)</f>
        <v>0</v>
      </c>
      <c r="C5" s="4">
        <f>SUMIF('Complete List'!E$2:E1000, A5, 'Complete List'!D$2:D1000)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4.86"/>
    <col customWidth="1" min="3" max="3" width="11.29"/>
    <col customWidth="1" min="4" max="4" width="14.71"/>
  </cols>
  <sheetData>
    <row r="1">
      <c r="A1" s="4" t="str">
        <f>IFERROR(__xludf.DUMMYFUNCTION("QUERY('Complete List'!A:G, ""SELECT C, A, D, E"", 1)"),"Name")</f>
        <v>Name</v>
      </c>
      <c r="B1" s="4" t="str">
        <f>IFERROR(__xludf.DUMMYFUNCTION("""COMPUTED_VALUE"""),"Size")</f>
        <v>Size</v>
      </c>
      <c r="C1" s="4" t="str">
        <f>IFERROR(__xludf.DUMMYFUNCTION("""COMPUTED_VALUE"""),"Amount (₹)")</f>
        <v>Amount (₹)</v>
      </c>
      <c r="D1" s="4" t="str">
        <f>IFERROR(__xludf.DUMMYFUNCTION("""COMPUTED_VALUE"""),"Payment Mode")</f>
        <v>Payment Mode</v>
      </c>
    </row>
    <row r="2">
      <c r="A2" s="4" t="str">
        <f>IFERROR(__xludf.DUMMYFUNCTION("""COMPUTED_VALUE"""),"राहुल राऊत ")</f>
        <v>राहुल राऊत </v>
      </c>
      <c r="B2" s="4">
        <f>IFERROR(__xludf.DUMMYFUNCTION("""COMPUTED_VALUE"""),44.0)</f>
        <v>44</v>
      </c>
      <c r="C2" s="4">
        <f>IFERROR(__xludf.DUMMYFUNCTION("""COMPUTED_VALUE"""),200.0)</f>
        <v>200</v>
      </c>
      <c r="D2" s="4" t="str">
        <f>IFERROR(__xludf.DUMMYFUNCTION("""COMPUTED_VALUE"""),"Cash")</f>
        <v>Cash</v>
      </c>
    </row>
    <row r="3">
      <c r="A3" s="4" t="str">
        <f>IFERROR(__xludf.DUMMYFUNCTION("""COMPUTED_VALUE"""),"वेदांत तांडेल ")</f>
        <v>वेदांत तांडेल </v>
      </c>
      <c r="B3" s="4">
        <f>IFERROR(__xludf.DUMMYFUNCTION("""COMPUTED_VALUE"""),44.0)</f>
        <v>44</v>
      </c>
      <c r="C3" s="4">
        <f>IFERROR(__xludf.DUMMYFUNCTION("""COMPUTED_VALUE"""),0.0)</f>
        <v>0</v>
      </c>
      <c r="D3" s="4"/>
    </row>
    <row r="4">
      <c r="A4" s="4" t="str">
        <f>IFERROR(__xludf.DUMMYFUNCTION("""COMPUTED_VALUE"""),"राहुल नाईक")</f>
        <v>राहुल नाईक</v>
      </c>
      <c r="B4" s="4">
        <f>IFERROR(__xludf.DUMMYFUNCTION("""COMPUTED_VALUE"""),44.0)</f>
        <v>44</v>
      </c>
      <c r="C4" s="4">
        <f>IFERROR(__xludf.DUMMYFUNCTION("""COMPUTED_VALUE"""),350.0)</f>
        <v>350</v>
      </c>
      <c r="D4" s="4" t="str">
        <f>IFERROR(__xludf.DUMMYFUNCTION("""COMPUTED_VALUE"""),"GPay")</f>
        <v>GPay</v>
      </c>
    </row>
    <row r="5">
      <c r="A5" s="4" t="str">
        <f>IFERROR(__xludf.DUMMYFUNCTION("""COMPUTED_VALUE"""),"भावनेश मेहेर ")</f>
        <v>भावनेश मेहेर </v>
      </c>
      <c r="B5" s="4">
        <f>IFERROR(__xludf.DUMMYFUNCTION("""COMPUTED_VALUE"""),44.0)</f>
        <v>44</v>
      </c>
      <c r="C5" s="4">
        <f>IFERROR(__xludf.DUMMYFUNCTION("""COMPUTED_VALUE"""),350.0)</f>
        <v>350</v>
      </c>
      <c r="D5" s="4" t="str">
        <f>IFERROR(__xludf.DUMMYFUNCTION("""COMPUTED_VALUE"""),"GPay")</f>
        <v>GPay</v>
      </c>
    </row>
    <row r="6">
      <c r="A6" s="4" t="str">
        <f>IFERROR(__xludf.DUMMYFUNCTION("""COMPUTED_VALUE"""),"भावनेश मेहेर ")</f>
        <v>भावनेश मेहेर </v>
      </c>
      <c r="B6" s="4">
        <f>IFERROR(__xludf.DUMMYFUNCTION("""COMPUTED_VALUE"""),44.0)</f>
        <v>44</v>
      </c>
      <c r="C6" s="4">
        <f>IFERROR(__xludf.DUMMYFUNCTION("""COMPUTED_VALUE"""),350.0)</f>
        <v>350</v>
      </c>
      <c r="D6" s="4" t="str">
        <f>IFERROR(__xludf.DUMMYFUNCTION("""COMPUTED_VALUE"""),"GPay")</f>
        <v>GPay</v>
      </c>
    </row>
    <row r="7">
      <c r="A7" s="4" t="str">
        <f>IFERROR(__xludf.DUMMYFUNCTION("""COMPUTED_VALUE"""),"मनीष मेहेर")</f>
        <v>मनीष मेहेर</v>
      </c>
      <c r="B7" s="4">
        <f>IFERROR(__xludf.DUMMYFUNCTION("""COMPUTED_VALUE"""),46.0)</f>
        <v>46</v>
      </c>
      <c r="C7" s="4">
        <f>IFERROR(__xludf.DUMMYFUNCTION("""COMPUTED_VALUE"""),350.0)</f>
        <v>350</v>
      </c>
      <c r="D7" s="4" t="str">
        <f>IFERROR(__xludf.DUMMYFUNCTION("""COMPUTED_VALUE"""),"Cash")</f>
        <v>Cash</v>
      </c>
    </row>
    <row r="8">
      <c r="A8" s="4" t="str">
        <f>IFERROR(__xludf.DUMMYFUNCTION("""COMPUTED_VALUE"""),"सुनील चौधरी")</f>
        <v>सुनील चौधरी</v>
      </c>
      <c r="B8" s="4">
        <f>IFERROR(__xludf.DUMMYFUNCTION("""COMPUTED_VALUE"""),42.0)</f>
        <v>42</v>
      </c>
      <c r="C8" s="4">
        <f>IFERROR(__xludf.DUMMYFUNCTION("""COMPUTED_VALUE"""),350.0)</f>
        <v>350</v>
      </c>
      <c r="D8" s="4" t="str">
        <f>IFERROR(__xludf.DUMMYFUNCTION("""COMPUTED_VALUE"""),"GPay")</f>
        <v>GPay</v>
      </c>
    </row>
    <row r="9">
      <c r="A9" s="4" t="str">
        <f>IFERROR(__xludf.DUMMYFUNCTION("""COMPUTED_VALUE"""),"जन्मेश तांडेल ")</f>
        <v>जन्मेश तांडेल </v>
      </c>
      <c r="B9" s="4">
        <f>IFERROR(__xludf.DUMMYFUNCTION("""COMPUTED_VALUE"""),42.0)</f>
        <v>42</v>
      </c>
      <c r="C9" s="4">
        <f>IFERROR(__xludf.DUMMYFUNCTION("""COMPUTED_VALUE"""),0.0)</f>
        <v>0</v>
      </c>
      <c r="D9" s="4"/>
    </row>
    <row r="10">
      <c r="A10" s="4" t="str">
        <f>IFERROR(__xludf.DUMMYFUNCTION("""COMPUTED_VALUE"""),"रोहन तरे")</f>
        <v>रोहन तरे</v>
      </c>
      <c r="B10" s="4">
        <f>IFERROR(__xludf.DUMMYFUNCTION("""COMPUTED_VALUE"""),42.0)</f>
        <v>42</v>
      </c>
      <c r="C10" s="4">
        <f>IFERROR(__xludf.DUMMYFUNCTION("""COMPUTED_VALUE"""),200.0)</f>
        <v>200</v>
      </c>
      <c r="D10" s="4" t="str">
        <f>IFERROR(__xludf.DUMMYFUNCTION("""COMPUTED_VALUE"""),"Cash")</f>
        <v>Cash</v>
      </c>
    </row>
    <row r="11">
      <c r="A11" s="4" t="str">
        <f>IFERROR(__xludf.DUMMYFUNCTION("""COMPUTED_VALUE"""),"अजय दादोडे ")</f>
        <v>अजय दादोडे </v>
      </c>
      <c r="B11" s="4">
        <f>IFERROR(__xludf.DUMMYFUNCTION("""COMPUTED_VALUE"""),42.0)</f>
        <v>42</v>
      </c>
      <c r="C11" s="4">
        <f>IFERROR(__xludf.DUMMYFUNCTION("""COMPUTED_VALUE"""),200.0)</f>
        <v>200</v>
      </c>
      <c r="D11" s="4" t="str">
        <f>IFERROR(__xludf.DUMMYFUNCTION("""COMPUTED_VALUE"""),"Cash ")</f>
        <v>Cash </v>
      </c>
    </row>
    <row r="12">
      <c r="A12" s="4" t="str">
        <f>IFERROR(__xludf.DUMMYFUNCTION("""COMPUTED_VALUE"""),"निलेश मेहेर")</f>
        <v>निलेश मेहेर</v>
      </c>
      <c r="B12" s="4">
        <f>IFERROR(__xludf.DUMMYFUNCTION("""COMPUTED_VALUE"""),42.0)</f>
        <v>42</v>
      </c>
      <c r="C12" s="4">
        <f>IFERROR(__xludf.DUMMYFUNCTION("""COMPUTED_VALUE"""),200.0)</f>
        <v>200</v>
      </c>
      <c r="D12" s="4" t="str">
        <f>IFERROR(__xludf.DUMMYFUNCTION("""COMPUTED_VALUE"""),"GPay")</f>
        <v>GPay</v>
      </c>
    </row>
    <row r="13">
      <c r="A13" s="4" t="str">
        <f>IFERROR(__xludf.DUMMYFUNCTION("""COMPUTED_VALUE"""),"अतुल तांडेल")</f>
        <v>अतुल तांडेल</v>
      </c>
      <c r="B13" s="4">
        <f>IFERROR(__xludf.DUMMYFUNCTION("""COMPUTED_VALUE"""),42.0)</f>
        <v>42</v>
      </c>
      <c r="C13" s="4">
        <f>IFERROR(__xludf.DUMMYFUNCTION("""COMPUTED_VALUE"""),350.0)</f>
        <v>350</v>
      </c>
      <c r="D13" s="4" t="str">
        <f>IFERROR(__xludf.DUMMYFUNCTION("""COMPUTED_VALUE"""),"GPay")</f>
        <v>GPay</v>
      </c>
    </row>
    <row r="14">
      <c r="A14" s="4" t="str">
        <f>IFERROR(__xludf.DUMMYFUNCTION("""COMPUTED_VALUE"""),"विनु केणी ")</f>
        <v>विनु केणी </v>
      </c>
      <c r="B14" s="4">
        <f>IFERROR(__xludf.DUMMYFUNCTION("""COMPUTED_VALUE"""),42.0)</f>
        <v>42</v>
      </c>
      <c r="C14" s="4"/>
      <c r="D14" s="4"/>
    </row>
    <row r="15">
      <c r="A15" s="4" t="str">
        <f>IFERROR(__xludf.DUMMYFUNCTION("""COMPUTED_VALUE"""),"अमोल राऊत ")</f>
        <v>अमोल राऊत </v>
      </c>
      <c r="B15" s="4">
        <f>IFERROR(__xludf.DUMMYFUNCTION("""COMPUTED_VALUE"""),42.0)</f>
        <v>42</v>
      </c>
      <c r="C15" s="4">
        <f>IFERROR(__xludf.DUMMYFUNCTION("""COMPUTED_VALUE"""),200.0)</f>
        <v>200</v>
      </c>
      <c r="D15" s="4" t="str">
        <f>IFERROR(__xludf.DUMMYFUNCTION("""COMPUTED_VALUE"""),"GPay")</f>
        <v>GPay</v>
      </c>
    </row>
    <row r="16">
      <c r="A16" s="4" t="str">
        <f>IFERROR(__xludf.DUMMYFUNCTION("""COMPUTED_VALUE"""),"जिग्नेश चौधरी ")</f>
        <v>जिग्नेश चौधरी </v>
      </c>
      <c r="B16" s="4">
        <f>IFERROR(__xludf.DUMMYFUNCTION("""COMPUTED_VALUE"""),42.0)</f>
        <v>42</v>
      </c>
      <c r="C16" s="4">
        <f>IFERROR(__xludf.DUMMYFUNCTION("""COMPUTED_VALUE"""),200.0)</f>
        <v>200</v>
      </c>
      <c r="D16" s="4" t="str">
        <f>IFERROR(__xludf.DUMMYFUNCTION("""COMPUTED_VALUE"""),"GPay")</f>
        <v>GPay</v>
      </c>
    </row>
    <row r="17">
      <c r="A17" s="4" t="str">
        <f>IFERROR(__xludf.DUMMYFUNCTION("""COMPUTED_VALUE"""),"निखिल मेहेर")</f>
        <v>निखिल मेहेर</v>
      </c>
      <c r="B17" s="4">
        <f>IFERROR(__xludf.DUMMYFUNCTION("""COMPUTED_VALUE"""),42.0)</f>
        <v>42</v>
      </c>
      <c r="C17" s="4">
        <f>IFERROR(__xludf.DUMMYFUNCTION("""COMPUTED_VALUE"""),350.0)</f>
        <v>350</v>
      </c>
      <c r="D17" s="4"/>
    </row>
    <row r="18">
      <c r="A18" s="4" t="str">
        <f>IFERROR(__xludf.DUMMYFUNCTION("""COMPUTED_VALUE"""),"देव")</f>
        <v>देव</v>
      </c>
      <c r="B18" s="4">
        <f>IFERROR(__xludf.DUMMYFUNCTION("""COMPUTED_VALUE"""),42.0)</f>
        <v>42</v>
      </c>
      <c r="C18" s="4">
        <f>IFERROR(__xludf.DUMMYFUNCTION("""COMPUTED_VALUE"""),0.0)</f>
        <v>0</v>
      </c>
      <c r="D18" s="4"/>
    </row>
    <row r="19">
      <c r="A19" s="4" t="str">
        <f>IFERROR(__xludf.DUMMYFUNCTION("""COMPUTED_VALUE"""),"अतुल तांडेल ")</f>
        <v>अतुल तांडेल </v>
      </c>
      <c r="B19" s="4">
        <f>IFERROR(__xludf.DUMMYFUNCTION("""COMPUTED_VALUE"""),42.0)</f>
        <v>42</v>
      </c>
      <c r="C19" s="4">
        <f>IFERROR(__xludf.DUMMYFUNCTION("""COMPUTED_VALUE"""),200.0)</f>
        <v>200</v>
      </c>
      <c r="D19" s="4" t="str">
        <f>IFERROR(__xludf.DUMMYFUNCTION("""COMPUTED_VALUE"""),"GPay")</f>
        <v>GPay</v>
      </c>
    </row>
    <row r="20">
      <c r="A20" s="4" t="str">
        <f>IFERROR(__xludf.DUMMYFUNCTION("""COMPUTED_VALUE"""),"योगेश धनु ")</f>
        <v>योगेश धनु </v>
      </c>
      <c r="B20" s="4">
        <f>IFERROR(__xludf.DUMMYFUNCTION("""COMPUTED_VALUE"""),42.0)</f>
        <v>42</v>
      </c>
      <c r="C20" s="4">
        <f>IFERROR(__xludf.DUMMYFUNCTION("""COMPUTED_VALUE"""),200.0)</f>
        <v>200</v>
      </c>
      <c r="D20" s="4" t="str">
        <f>IFERROR(__xludf.DUMMYFUNCTION("""COMPUTED_VALUE"""),"Cash")</f>
        <v>Cash</v>
      </c>
    </row>
    <row r="21">
      <c r="A21" s="4" t="str">
        <f>IFERROR(__xludf.DUMMYFUNCTION("""COMPUTED_VALUE"""),"सागर दवणे ")</f>
        <v>सागर दवणे </v>
      </c>
      <c r="B21" s="4">
        <f>IFERROR(__xludf.DUMMYFUNCTION("""COMPUTED_VALUE"""),42.0)</f>
        <v>42</v>
      </c>
      <c r="C21" s="4">
        <f>IFERROR(__xludf.DUMMYFUNCTION("""COMPUTED_VALUE"""),0.0)</f>
        <v>0</v>
      </c>
      <c r="D21" s="4"/>
    </row>
    <row r="22">
      <c r="A22" s="4" t="str">
        <f>IFERROR(__xludf.DUMMYFUNCTION("""COMPUTED_VALUE"""),"प्रणाली पाटील")</f>
        <v>प्रणाली पाटील</v>
      </c>
      <c r="B22" s="4">
        <f>IFERROR(__xludf.DUMMYFUNCTION("""COMPUTED_VALUE"""),42.0)</f>
        <v>42</v>
      </c>
      <c r="C22" s="4">
        <f>IFERROR(__xludf.DUMMYFUNCTION("""COMPUTED_VALUE"""),350.0)</f>
        <v>350</v>
      </c>
      <c r="D22" s="4" t="str">
        <f>IFERROR(__xludf.DUMMYFUNCTION("""COMPUTED_VALUE"""),"GPay")</f>
        <v>GPay</v>
      </c>
    </row>
    <row r="23">
      <c r="A23" s="4" t="str">
        <f>IFERROR(__xludf.DUMMYFUNCTION("""COMPUTED_VALUE"""),"तृणाल तरे ")</f>
        <v>तृणाल तरे </v>
      </c>
      <c r="B23" s="4">
        <f>IFERROR(__xludf.DUMMYFUNCTION("""COMPUTED_VALUE"""),42.0)</f>
        <v>42</v>
      </c>
      <c r="C23" s="4">
        <f>IFERROR(__xludf.DUMMYFUNCTION("""COMPUTED_VALUE"""),200.0)</f>
        <v>200</v>
      </c>
      <c r="D23" s="4" t="str">
        <f>IFERROR(__xludf.DUMMYFUNCTION("""COMPUTED_VALUE"""),"Cash")</f>
        <v>Cash</v>
      </c>
    </row>
    <row r="24">
      <c r="A24" s="4" t="str">
        <f>IFERROR(__xludf.DUMMYFUNCTION("""COMPUTED_VALUE"""),"अक्षय चौधरी")</f>
        <v>अक्षय चौधरी</v>
      </c>
      <c r="B24" s="4">
        <f>IFERROR(__xludf.DUMMYFUNCTION("""COMPUTED_VALUE"""),42.0)</f>
        <v>42</v>
      </c>
      <c r="C24" s="4">
        <f>IFERROR(__xludf.DUMMYFUNCTION("""COMPUTED_VALUE"""),200.0)</f>
        <v>200</v>
      </c>
      <c r="D24" s="4" t="str">
        <f>IFERROR(__xludf.DUMMYFUNCTION("""COMPUTED_VALUE"""),"GPay")</f>
        <v>GPay</v>
      </c>
    </row>
    <row r="25">
      <c r="A25" s="4" t="str">
        <f>IFERROR(__xludf.DUMMYFUNCTION("""COMPUTED_VALUE"""),"सार्थक दवणे ")</f>
        <v>सार्थक दवणे </v>
      </c>
      <c r="B25" s="4">
        <f>IFERROR(__xludf.DUMMYFUNCTION("""COMPUTED_VALUE"""),42.0)</f>
        <v>42</v>
      </c>
      <c r="C25" s="4">
        <f>IFERROR(__xludf.DUMMYFUNCTION("""COMPUTED_VALUE"""),350.0)</f>
        <v>350</v>
      </c>
      <c r="D25" s="4" t="str">
        <f>IFERROR(__xludf.DUMMYFUNCTION("""COMPUTED_VALUE"""),"GPay")</f>
        <v>GPay</v>
      </c>
    </row>
    <row r="26">
      <c r="A26" s="4" t="str">
        <f>IFERROR(__xludf.DUMMYFUNCTION("""COMPUTED_VALUE"""),"भावनेश मेहेर ")</f>
        <v>भावनेश मेहेर </v>
      </c>
      <c r="B26" s="4">
        <f>IFERROR(__xludf.DUMMYFUNCTION("""COMPUTED_VALUE"""),42.0)</f>
        <v>42</v>
      </c>
      <c r="C26" s="4">
        <f>IFERROR(__xludf.DUMMYFUNCTION("""COMPUTED_VALUE"""),350.0)</f>
        <v>350</v>
      </c>
      <c r="D26" s="4" t="str">
        <f>IFERROR(__xludf.DUMMYFUNCTION("""COMPUTED_VALUE"""),"GPay")</f>
        <v>GPay</v>
      </c>
    </row>
    <row r="27">
      <c r="A27" s="4" t="str">
        <f>IFERROR(__xludf.DUMMYFUNCTION("""COMPUTED_VALUE"""),"वैभव राऊत")</f>
        <v>वैभव राऊत</v>
      </c>
      <c r="B27" s="4">
        <f>IFERROR(__xludf.DUMMYFUNCTION("""COMPUTED_VALUE"""),42.0)</f>
        <v>42</v>
      </c>
      <c r="C27" s="4">
        <f>IFERROR(__xludf.DUMMYFUNCTION("""COMPUTED_VALUE"""),250.0)</f>
        <v>250</v>
      </c>
      <c r="D27" s="4" t="str">
        <f>IFERROR(__xludf.DUMMYFUNCTION("""COMPUTED_VALUE"""),"GPay")</f>
        <v>GPay</v>
      </c>
    </row>
    <row r="28">
      <c r="A28" s="4" t="str">
        <f>IFERROR(__xludf.DUMMYFUNCTION("""COMPUTED_VALUE"""),"मानवेंद्र चौधरी")</f>
        <v>मानवेंद्र चौधरी</v>
      </c>
      <c r="B28" s="4">
        <f>IFERROR(__xludf.DUMMYFUNCTION("""COMPUTED_VALUE"""),42.0)</f>
        <v>42</v>
      </c>
      <c r="C28" s="4">
        <f>IFERROR(__xludf.DUMMYFUNCTION("""COMPUTED_VALUE"""),200.0)</f>
        <v>200</v>
      </c>
      <c r="D28" s="4" t="str">
        <f>IFERROR(__xludf.DUMMYFUNCTION("""COMPUTED_VALUE"""),"Cash")</f>
        <v>Cash</v>
      </c>
    </row>
    <row r="29">
      <c r="A29" s="4" t="str">
        <f>IFERROR(__xludf.DUMMYFUNCTION("""COMPUTED_VALUE"""),"हर्षित तांडेल")</f>
        <v>हर्षित तांडेल</v>
      </c>
      <c r="B29" s="4">
        <f>IFERROR(__xludf.DUMMYFUNCTION("""COMPUTED_VALUE"""),42.0)</f>
        <v>42</v>
      </c>
      <c r="C29" s="4"/>
      <c r="D29" s="4"/>
    </row>
    <row r="30">
      <c r="A30" s="4" t="str">
        <f>IFERROR(__xludf.DUMMYFUNCTION("""COMPUTED_VALUE"""),"ॐ धानमेहर ")</f>
        <v>ॐ धानमेहर </v>
      </c>
      <c r="B30" s="4">
        <f>IFERROR(__xludf.DUMMYFUNCTION("""COMPUTED_VALUE"""),40.0)</f>
        <v>40</v>
      </c>
      <c r="C30" s="4">
        <f>IFERROR(__xludf.DUMMYFUNCTION("""COMPUTED_VALUE"""),200.0)</f>
        <v>200</v>
      </c>
      <c r="D30" s="4" t="str">
        <f>IFERROR(__xludf.DUMMYFUNCTION("""COMPUTED_VALUE"""),"GPay")</f>
        <v>GPay</v>
      </c>
    </row>
    <row r="31">
      <c r="A31" s="4" t="str">
        <f>IFERROR(__xludf.DUMMYFUNCTION("""COMPUTED_VALUE"""),"दिशांत तांडेल ")</f>
        <v>दिशांत तांडेल </v>
      </c>
      <c r="B31" s="4">
        <f>IFERROR(__xludf.DUMMYFUNCTION("""COMPUTED_VALUE"""),40.0)</f>
        <v>40</v>
      </c>
      <c r="C31" s="4">
        <f>IFERROR(__xludf.DUMMYFUNCTION("""COMPUTED_VALUE"""),350.0)</f>
        <v>350</v>
      </c>
      <c r="D31" s="4" t="str">
        <f>IFERROR(__xludf.DUMMYFUNCTION("""COMPUTED_VALUE"""),"Cash")</f>
        <v>Cash</v>
      </c>
    </row>
    <row r="32">
      <c r="A32" s="4" t="str">
        <f>IFERROR(__xludf.DUMMYFUNCTION("""COMPUTED_VALUE"""),"जन्मेश राऊत ")</f>
        <v>जन्मेश राऊत </v>
      </c>
      <c r="B32" s="4">
        <f>IFERROR(__xludf.DUMMYFUNCTION("""COMPUTED_VALUE"""),40.0)</f>
        <v>40</v>
      </c>
      <c r="C32" s="4">
        <f>IFERROR(__xludf.DUMMYFUNCTION("""COMPUTED_VALUE"""),200.0)</f>
        <v>200</v>
      </c>
      <c r="D32" s="4" t="str">
        <f>IFERROR(__xludf.DUMMYFUNCTION("""COMPUTED_VALUE"""),"GPay")</f>
        <v>GPay</v>
      </c>
    </row>
    <row r="33">
      <c r="A33" s="4" t="str">
        <f>IFERROR(__xludf.DUMMYFUNCTION("""COMPUTED_VALUE"""),"जन्मेश राऊत ")</f>
        <v>जन्मेश राऊत </v>
      </c>
      <c r="B33" s="4">
        <f>IFERROR(__xludf.DUMMYFUNCTION("""COMPUTED_VALUE"""),40.0)</f>
        <v>40</v>
      </c>
      <c r="C33" s="4">
        <f>IFERROR(__xludf.DUMMYFUNCTION("""COMPUTED_VALUE"""),200.0)</f>
        <v>200</v>
      </c>
      <c r="D33" s="4" t="str">
        <f>IFERROR(__xludf.DUMMYFUNCTION("""COMPUTED_VALUE"""),"GPay")</f>
        <v>GPay</v>
      </c>
    </row>
    <row r="34">
      <c r="A34" s="4" t="str">
        <f>IFERROR(__xludf.DUMMYFUNCTION("""COMPUTED_VALUE"""),"रोहन चौधरी")</f>
        <v>रोहन चौधरी</v>
      </c>
      <c r="B34" s="4">
        <f>IFERROR(__xludf.DUMMYFUNCTION("""COMPUTED_VALUE"""),40.0)</f>
        <v>40</v>
      </c>
      <c r="C34" s="4">
        <f>IFERROR(__xludf.DUMMYFUNCTION("""COMPUTED_VALUE"""),0.0)</f>
        <v>0</v>
      </c>
      <c r="D34" s="4"/>
    </row>
    <row r="35">
      <c r="A35" s="4" t="str">
        <f>IFERROR(__xludf.DUMMYFUNCTION("""COMPUTED_VALUE"""),"निकेत चौधरी ")</f>
        <v>निकेत चौधरी </v>
      </c>
      <c r="B35" s="4">
        <f>IFERROR(__xludf.DUMMYFUNCTION("""COMPUTED_VALUE"""),40.0)</f>
        <v>40</v>
      </c>
      <c r="C35" s="4">
        <f>IFERROR(__xludf.DUMMYFUNCTION("""COMPUTED_VALUE"""),350.0)</f>
        <v>350</v>
      </c>
      <c r="D35" s="4" t="str">
        <f>IFERROR(__xludf.DUMMYFUNCTION("""COMPUTED_VALUE"""),"GPay")</f>
        <v>GPay</v>
      </c>
    </row>
    <row r="36">
      <c r="A36" s="4" t="str">
        <f>IFERROR(__xludf.DUMMYFUNCTION("""COMPUTED_VALUE"""),"निकेत चौधरी ")</f>
        <v>निकेत चौधरी </v>
      </c>
      <c r="B36" s="4">
        <f>IFERROR(__xludf.DUMMYFUNCTION("""COMPUTED_VALUE"""),40.0)</f>
        <v>40</v>
      </c>
      <c r="C36" s="4">
        <f>IFERROR(__xludf.DUMMYFUNCTION("""COMPUTED_VALUE"""),350.0)</f>
        <v>350</v>
      </c>
      <c r="D36" s="4" t="str">
        <f>IFERROR(__xludf.DUMMYFUNCTION("""COMPUTED_VALUE"""),"GPay")</f>
        <v>GPay</v>
      </c>
    </row>
    <row r="37">
      <c r="A37" s="4" t="str">
        <f>IFERROR(__xludf.DUMMYFUNCTION("""COMPUTED_VALUE"""),"चेतन तरे")</f>
        <v>चेतन तरे</v>
      </c>
      <c r="B37" s="4">
        <f>IFERROR(__xludf.DUMMYFUNCTION("""COMPUTED_VALUE"""),40.0)</f>
        <v>40</v>
      </c>
      <c r="C37" s="4">
        <f>IFERROR(__xludf.DUMMYFUNCTION("""COMPUTED_VALUE"""),200.0)</f>
        <v>200</v>
      </c>
      <c r="D37" s="4" t="str">
        <f>IFERROR(__xludf.DUMMYFUNCTION("""COMPUTED_VALUE"""),"Cash")</f>
        <v>Cash</v>
      </c>
    </row>
    <row r="38">
      <c r="A38" s="4" t="str">
        <f>IFERROR(__xludf.DUMMYFUNCTION("""COMPUTED_VALUE"""),"प्रफुल्ल चौधरी")</f>
        <v>प्रफुल्ल चौधरी</v>
      </c>
      <c r="B38" s="4">
        <f>IFERROR(__xludf.DUMMYFUNCTION("""COMPUTED_VALUE"""),40.0)</f>
        <v>40</v>
      </c>
      <c r="C38" s="4">
        <f>IFERROR(__xludf.DUMMYFUNCTION("""COMPUTED_VALUE"""),200.0)</f>
        <v>200</v>
      </c>
      <c r="D38" s="4" t="str">
        <f>IFERROR(__xludf.DUMMYFUNCTION("""COMPUTED_VALUE"""),"Cash")</f>
        <v>Cash</v>
      </c>
    </row>
    <row r="39">
      <c r="A39" s="4" t="str">
        <f>IFERROR(__xludf.DUMMYFUNCTION("""COMPUTED_VALUE"""),"भावेश चौधरी")</f>
        <v>भावेश चौधरी</v>
      </c>
      <c r="B39" s="4">
        <f>IFERROR(__xludf.DUMMYFUNCTION("""COMPUTED_VALUE"""),40.0)</f>
        <v>40</v>
      </c>
      <c r="C39" s="4">
        <f>IFERROR(__xludf.DUMMYFUNCTION("""COMPUTED_VALUE"""),350.0)</f>
        <v>350</v>
      </c>
      <c r="D39" s="4" t="str">
        <f>IFERROR(__xludf.DUMMYFUNCTION("""COMPUTED_VALUE"""),"GPay")</f>
        <v>GPay</v>
      </c>
    </row>
    <row r="40">
      <c r="A40" s="4" t="str">
        <f>IFERROR(__xludf.DUMMYFUNCTION("""COMPUTED_VALUE"""),"यश किणी")</f>
        <v>यश किणी</v>
      </c>
      <c r="B40" s="4">
        <f>IFERROR(__xludf.DUMMYFUNCTION("""COMPUTED_VALUE"""),40.0)</f>
        <v>40</v>
      </c>
      <c r="C40" s="4">
        <f>IFERROR(__xludf.DUMMYFUNCTION("""COMPUTED_VALUE"""),200.0)</f>
        <v>200</v>
      </c>
      <c r="D40" s="4" t="str">
        <f>IFERROR(__xludf.DUMMYFUNCTION("""COMPUTED_VALUE"""),"Cash")</f>
        <v>Cash</v>
      </c>
    </row>
    <row r="41">
      <c r="A41" s="4" t="str">
        <f>IFERROR(__xludf.DUMMYFUNCTION("""COMPUTED_VALUE"""),"महेश चौधरी")</f>
        <v>महेश चौधरी</v>
      </c>
      <c r="B41" s="4">
        <f>IFERROR(__xludf.DUMMYFUNCTION("""COMPUTED_VALUE"""),40.0)</f>
        <v>40</v>
      </c>
      <c r="C41" s="4">
        <f>IFERROR(__xludf.DUMMYFUNCTION("""COMPUTED_VALUE"""),200.0)</f>
        <v>200</v>
      </c>
      <c r="D41" s="4" t="str">
        <f>IFERROR(__xludf.DUMMYFUNCTION("""COMPUTED_VALUE"""),"GPay")</f>
        <v>GPay</v>
      </c>
    </row>
    <row r="42">
      <c r="A42" s="4" t="str">
        <f>IFERROR(__xludf.DUMMYFUNCTION("""COMPUTED_VALUE"""),"मंगेश चौधरी")</f>
        <v>मंगेश चौधरी</v>
      </c>
      <c r="B42" s="4">
        <f>IFERROR(__xludf.DUMMYFUNCTION("""COMPUTED_VALUE"""),40.0)</f>
        <v>40</v>
      </c>
      <c r="C42" s="4">
        <f>IFERROR(__xludf.DUMMYFUNCTION("""COMPUTED_VALUE"""),200.0)</f>
        <v>200</v>
      </c>
      <c r="D42" s="4" t="str">
        <f>IFERROR(__xludf.DUMMYFUNCTION("""COMPUTED_VALUE"""),"GPay")</f>
        <v>GPay</v>
      </c>
    </row>
    <row r="43">
      <c r="A43" s="4" t="str">
        <f>IFERROR(__xludf.DUMMYFUNCTION("""COMPUTED_VALUE"""),"चैतन्य नाईक")</f>
        <v>चैतन्य नाईक</v>
      </c>
      <c r="B43" s="4">
        <f>IFERROR(__xludf.DUMMYFUNCTION("""COMPUTED_VALUE"""),40.0)</f>
        <v>40</v>
      </c>
      <c r="C43" s="4">
        <f>IFERROR(__xludf.DUMMYFUNCTION("""COMPUTED_VALUE"""),350.0)</f>
        <v>350</v>
      </c>
      <c r="D43" s="4" t="str">
        <f>IFERROR(__xludf.DUMMYFUNCTION("""COMPUTED_VALUE"""),"Cash")</f>
        <v>Cash</v>
      </c>
    </row>
    <row r="44">
      <c r="A44" s="4" t="str">
        <f>IFERROR(__xludf.DUMMYFUNCTION("""COMPUTED_VALUE"""),"निखिल मेहेर")</f>
        <v>निखिल मेहेर</v>
      </c>
      <c r="B44" s="4">
        <f>IFERROR(__xludf.DUMMYFUNCTION("""COMPUTED_VALUE"""),40.0)</f>
        <v>40</v>
      </c>
      <c r="C44" s="4">
        <f>IFERROR(__xludf.DUMMYFUNCTION("""COMPUTED_VALUE"""),350.0)</f>
        <v>350</v>
      </c>
      <c r="D44" s="4" t="str">
        <f>IFERROR(__xludf.DUMMYFUNCTION("""COMPUTED_VALUE"""),"Cash")</f>
        <v>Cash</v>
      </c>
    </row>
    <row r="45">
      <c r="A45" s="4" t="str">
        <f>IFERROR(__xludf.DUMMYFUNCTION("""COMPUTED_VALUE"""),"निखिल मेहेर")</f>
        <v>निखिल मेहेर</v>
      </c>
      <c r="B45" s="4">
        <f>IFERROR(__xludf.DUMMYFUNCTION("""COMPUTED_VALUE"""),40.0)</f>
        <v>40</v>
      </c>
      <c r="C45" s="4">
        <f>IFERROR(__xludf.DUMMYFUNCTION("""COMPUTED_VALUE"""),350.0)</f>
        <v>350</v>
      </c>
      <c r="D45" s="4" t="str">
        <f>IFERROR(__xludf.DUMMYFUNCTION("""COMPUTED_VALUE"""),"Cash")</f>
        <v>Cash</v>
      </c>
    </row>
    <row r="46">
      <c r="A46" s="4" t="str">
        <f>IFERROR(__xludf.DUMMYFUNCTION("""COMPUTED_VALUE"""),"ध्रुव तांडेल ")</f>
        <v>ध्रुव तांडेल </v>
      </c>
      <c r="B46" s="4">
        <f>IFERROR(__xludf.DUMMYFUNCTION("""COMPUTED_VALUE"""),40.0)</f>
        <v>40</v>
      </c>
      <c r="C46" s="4">
        <f>IFERROR(__xludf.DUMMYFUNCTION("""COMPUTED_VALUE"""),350.0)</f>
        <v>350</v>
      </c>
      <c r="D46" s="4" t="str">
        <f>IFERROR(__xludf.DUMMYFUNCTION("""COMPUTED_VALUE"""),"Cash")</f>
        <v>Cash</v>
      </c>
    </row>
    <row r="47">
      <c r="A47" s="4" t="str">
        <f>IFERROR(__xludf.DUMMYFUNCTION("""COMPUTED_VALUE"""),"अमोल पाटील. ")</f>
        <v>अमोल पाटील. </v>
      </c>
      <c r="B47" s="4">
        <f>IFERROR(__xludf.DUMMYFUNCTION("""COMPUTED_VALUE"""),40.0)</f>
        <v>40</v>
      </c>
      <c r="C47" s="4">
        <f>IFERROR(__xludf.DUMMYFUNCTION("""COMPUTED_VALUE"""),200.0)</f>
        <v>200</v>
      </c>
      <c r="D47" s="4" t="str">
        <f>IFERROR(__xludf.DUMMYFUNCTION("""COMPUTED_VALUE"""),"Cash")</f>
        <v>Cash</v>
      </c>
    </row>
    <row r="48">
      <c r="A48" s="4" t="str">
        <f>IFERROR(__xludf.DUMMYFUNCTION("""COMPUTED_VALUE"""),"हार्दिक तरे ")</f>
        <v>हार्दिक तरे </v>
      </c>
      <c r="B48" s="4">
        <f>IFERROR(__xludf.DUMMYFUNCTION("""COMPUTED_VALUE"""),40.0)</f>
        <v>40</v>
      </c>
      <c r="C48" s="4">
        <f>IFERROR(__xludf.DUMMYFUNCTION("""COMPUTED_VALUE"""),200.0)</f>
        <v>200</v>
      </c>
      <c r="D48" s="4" t="str">
        <f>IFERROR(__xludf.DUMMYFUNCTION("""COMPUTED_VALUE"""),"Cash")</f>
        <v>Cash</v>
      </c>
    </row>
    <row r="49">
      <c r="A49" s="4" t="str">
        <f>IFERROR(__xludf.DUMMYFUNCTION("""COMPUTED_VALUE"""),"भावेश मेहेर")</f>
        <v>भावेश मेहेर</v>
      </c>
      <c r="B49" s="4">
        <f>IFERROR(__xludf.DUMMYFUNCTION("""COMPUTED_VALUE"""),40.0)</f>
        <v>40</v>
      </c>
      <c r="C49" s="4">
        <f>IFERROR(__xludf.DUMMYFUNCTION("""COMPUTED_VALUE"""),200.0)</f>
        <v>200</v>
      </c>
      <c r="D49" s="4" t="str">
        <f>IFERROR(__xludf.DUMMYFUNCTION("""COMPUTED_VALUE"""),"GPay")</f>
        <v>GPay</v>
      </c>
    </row>
    <row r="50">
      <c r="A50" s="4" t="str">
        <f>IFERROR(__xludf.DUMMYFUNCTION("""COMPUTED_VALUE"""),"नितेश चौधरी")</f>
        <v>नितेश चौधरी</v>
      </c>
      <c r="B50" s="4">
        <f>IFERROR(__xludf.DUMMYFUNCTION("""COMPUTED_VALUE"""),40.0)</f>
        <v>40</v>
      </c>
      <c r="C50" s="4">
        <f>IFERROR(__xludf.DUMMYFUNCTION("""COMPUTED_VALUE"""),200.0)</f>
        <v>200</v>
      </c>
      <c r="D50" s="4" t="str">
        <f>IFERROR(__xludf.DUMMYFUNCTION("""COMPUTED_VALUE"""),"GPay")</f>
        <v>GPay</v>
      </c>
    </row>
    <row r="51">
      <c r="A51" s="4" t="str">
        <f>IFERROR(__xludf.DUMMYFUNCTION("""COMPUTED_VALUE"""),"कृपेश तांडेल ")</f>
        <v>कृपेश तांडेल </v>
      </c>
      <c r="B51" s="4">
        <f>IFERROR(__xludf.DUMMYFUNCTION("""COMPUTED_VALUE"""),40.0)</f>
        <v>40</v>
      </c>
      <c r="C51" s="4">
        <f>IFERROR(__xludf.DUMMYFUNCTION("""COMPUTED_VALUE"""),200.0)</f>
        <v>200</v>
      </c>
      <c r="D51" s="4" t="str">
        <f>IFERROR(__xludf.DUMMYFUNCTION("""COMPUTED_VALUE"""),"GPay")</f>
        <v>GPay</v>
      </c>
    </row>
    <row r="52">
      <c r="A52" s="4" t="str">
        <f>IFERROR(__xludf.DUMMYFUNCTION("""COMPUTED_VALUE"""),"कुलदीप नाईक")</f>
        <v>कुलदीप नाईक</v>
      </c>
      <c r="B52" s="4">
        <f>IFERROR(__xludf.DUMMYFUNCTION("""COMPUTED_VALUE"""),40.0)</f>
        <v>40</v>
      </c>
      <c r="C52" s="4">
        <f>IFERROR(__xludf.DUMMYFUNCTION("""COMPUTED_VALUE"""),200.0)</f>
        <v>200</v>
      </c>
      <c r="D52" s="4" t="str">
        <f>IFERROR(__xludf.DUMMYFUNCTION("""COMPUTED_VALUE"""),"Cash")</f>
        <v>Cash</v>
      </c>
    </row>
    <row r="53">
      <c r="A53" s="4" t="str">
        <f>IFERROR(__xludf.DUMMYFUNCTION("""COMPUTED_VALUE"""),"सागर दवणे ")</f>
        <v>सागर दवणे </v>
      </c>
      <c r="B53" s="4">
        <f>IFERROR(__xludf.DUMMYFUNCTION("""COMPUTED_VALUE"""),40.0)</f>
        <v>40</v>
      </c>
      <c r="C53" s="4">
        <f>IFERROR(__xludf.DUMMYFUNCTION("""COMPUTED_VALUE"""),0.0)</f>
        <v>0</v>
      </c>
      <c r="D53" s="4"/>
    </row>
    <row r="54">
      <c r="A54" s="4" t="str">
        <f>IFERROR(__xludf.DUMMYFUNCTION("""COMPUTED_VALUE"""),"हर्षित तांडेल ")</f>
        <v>हर्षित तांडेल </v>
      </c>
      <c r="B54" s="4">
        <f>IFERROR(__xludf.DUMMYFUNCTION("""COMPUTED_VALUE"""),40.0)</f>
        <v>40</v>
      </c>
      <c r="C54" s="4">
        <f>IFERROR(__xludf.DUMMYFUNCTION("""COMPUTED_VALUE"""),0.0)</f>
        <v>0</v>
      </c>
      <c r="D54" s="4"/>
    </row>
    <row r="55">
      <c r="A55" s="4" t="str">
        <f>IFERROR(__xludf.DUMMYFUNCTION("""COMPUTED_VALUE"""),"राकेश पाटील")</f>
        <v>राकेश पाटील</v>
      </c>
      <c r="B55" s="4">
        <f>IFERROR(__xludf.DUMMYFUNCTION("""COMPUTED_VALUE"""),40.0)</f>
        <v>40</v>
      </c>
      <c r="C55" s="4">
        <f>IFERROR(__xludf.DUMMYFUNCTION("""COMPUTED_VALUE"""),0.0)</f>
        <v>0</v>
      </c>
      <c r="D55" s="4"/>
    </row>
    <row r="56">
      <c r="A56" s="4" t="str">
        <f>IFERROR(__xludf.DUMMYFUNCTION("""COMPUTED_VALUE"""),"संजय दुबळ ")</f>
        <v>संजय दुबळ </v>
      </c>
      <c r="B56" s="4">
        <f>IFERROR(__xludf.DUMMYFUNCTION("""COMPUTED_VALUE"""),40.0)</f>
        <v>40</v>
      </c>
      <c r="C56" s="4">
        <f>IFERROR(__xludf.DUMMYFUNCTION("""COMPUTED_VALUE"""),200.0)</f>
        <v>200</v>
      </c>
      <c r="D56" s="4" t="str">
        <f>IFERROR(__xludf.DUMMYFUNCTION("""COMPUTED_VALUE"""),"GPay")</f>
        <v>GPay</v>
      </c>
    </row>
    <row r="57">
      <c r="A57" s="4" t="str">
        <f>IFERROR(__xludf.DUMMYFUNCTION("""COMPUTED_VALUE"""),"प्रणय तांडेल ")</f>
        <v>प्रणय तांडेल </v>
      </c>
      <c r="B57" s="4">
        <f>IFERROR(__xludf.DUMMYFUNCTION("""COMPUTED_VALUE"""),40.0)</f>
        <v>40</v>
      </c>
      <c r="C57" s="4">
        <f>IFERROR(__xludf.DUMMYFUNCTION("""COMPUTED_VALUE"""),200.0)</f>
        <v>200</v>
      </c>
      <c r="D57" s="4" t="str">
        <f>IFERROR(__xludf.DUMMYFUNCTION("""COMPUTED_VALUE"""),"Cash")</f>
        <v>Cash</v>
      </c>
    </row>
    <row r="58">
      <c r="A58" s="4" t="str">
        <f>IFERROR(__xludf.DUMMYFUNCTION("""COMPUTED_VALUE"""),"रोहित तांडेल")</f>
        <v>रोहित तांडेल</v>
      </c>
      <c r="B58" s="4">
        <f>IFERROR(__xludf.DUMMYFUNCTION("""COMPUTED_VALUE"""),40.0)</f>
        <v>40</v>
      </c>
      <c r="C58" s="4">
        <f>IFERROR(__xludf.DUMMYFUNCTION("""COMPUTED_VALUE"""),0.0)</f>
        <v>0</v>
      </c>
      <c r="D58" s="4"/>
    </row>
    <row r="59">
      <c r="A59" s="4" t="str">
        <f>IFERROR(__xludf.DUMMYFUNCTION("""COMPUTED_VALUE"""),"शांतू बाबा ")</f>
        <v>शांतू बाबा </v>
      </c>
      <c r="B59" s="4">
        <f>IFERROR(__xludf.DUMMYFUNCTION("""COMPUTED_VALUE"""),40.0)</f>
        <v>40</v>
      </c>
      <c r="C59" s="4">
        <f>IFERROR(__xludf.DUMMYFUNCTION("""COMPUTED_VALUE"""),0.0)</f>
        <v>0</v>
      </c>
      <c r="D59" s="4"/>
    </row>
    <row r="60">
      <c r="A60" s="4" t="str">
        <f>IFERROR(__xludf.DUMMYFUNCTION("""COMPUTED_VALUE"""),"वंश तांडेल")</f>
        <v>वंश तांडेल</v>
      </c>
      <c r="B60" s="4">
        <f>IFERROR(__xludf.DUMMYFUNCTION("""COMPUTED_VALUE"""),40.0)</f>
        <v>40</v>
      </c>
      <c r="C60" s="4">
        <f>IFERROR(__xludf.DUMMYFUNCTION("""COMPUTED_VALUE"""),0.0)</f>
        <v>0</v>
      </c>
      <c r="D60" s="4"/>
    </row>
    <row r="61">
      <c r="A61" s="4" t="str">
        <f>IFERROR(__xludf.DUMMYFUNCTION("""COMPUTED_VALUE"""),"अमोल राऊत ")</f>
        <v>अमोल राऊत </v>
      </c>
      <c r="B61" s="4">
        <f>IFERROR(__xludf.DUMMYFUNCTION("""COMPUTED_VALUE"""),40.0)</f>
        <v>40</v>
      </c>
      <c r="C61" s="4">
        <f>IFERROR(__xludf.DUMMYFUNCTION("""COMPUTED_VALUE"""),350.0)</f>
        <v>350</v>
      </c>
      <c r="D61" s="4" t="str">
        <f>IFERROR(__xludf.DUMMYFUNCTION("""COMPUTED_VALUE"""),"GPay")</f>
        <v>GPay</v>
      </c>
    </row>
    <row r="62">
      <c r="A62" s="4" t="str">
        <f>IFERROR(__xludf.DUMMYFUNCTION("""COMPUTED_VALUE"""),"सचिन राऊत ")</f>
        <v>सचिन राऊत </v>
      </c>
      <c r="B62" s="4">
        <f>IFERROR(__xludf.DUMMYFUNCTION("""COMPUTED_VALUE"""),40.0)</f>
        <v>40</v>
      </c>
      <c r="C62" s="4">
        <f>IFERROR(__xludf.DUMMYFUNCTION("""COMPUTED_VALUE"""),0.0)</f>
        <v>0</v>
      </c>
      <c r="D62" s="4"/>
    </row>
    <row r="63">
      <c r="A63" s="4" t="str">
        <f>IFERROR(__xludf.DUMMYFUNCTION("""COMPUTED_VALUE"""),"कुणाल चौधरी")</f>
        <v>कुणाल चौधरी</v>
      </c>
      <c r="B63" s="4">
        <f>IFERROR(__xludf.DUMMYFUNCTION("""COMPUTED_VALUE"""),40.0)</f>
        <v>40</v>
      </c>
      <c r="C63" s="4">
        <f>IFERROR(__xludf.DUMMYFUNCTION("""COMPUTED_VALUE"""),0.0)</f>
        <v>0</v>
      </c>
      <c r="D63" s="4"/>
    </row>
    <row r="64">
      <c r="A64" s="4" t="str">
        <f>IFERROR(__xludf.DUMMYFUNCTION("""COMPUTED_VALUE"""),"ॐ धानमेहर ")</f>
        <v>ॐ धानमेहर </v>
      </c>
      <c r="B64" s="4">
        <f>IFERROR(__xludf.DUMMYFUNCTION("""COMPUTED_VALUE"""),40.0)</f>
        <v>40</v>
      </c>
      <c r="C64" s="4">
        <f>IFERROR(__xludf.DUMMYFUNCTION("""COMPUTED_VALUE"""),200.0)</f>
        <v>200</v>
      </c>
      <c r="D64" s="4" t="str">
        <f>IFERROR(__xludf.DUMMYFUNCTION("""COMPUTED_VALUE"""),"GPay")</f>
        <v>GPay</v>
      </c>
    </row>
    <row r="65">
      <c r="A65" s="4" t="str">
        <f>IFERROR(__xludf.DUMMYFUNCTION("""COMPUTED_VALUE"""),"जयेश नाईक")</f>
        <v>जयेश नाईक</v>
      </c>
      <c r="B65" s="4">
        <f>IFERROR(__xludf.DUMMYFUNCTION("""COMPUTED_VALUE"""),40.0)</f>
        <v>40</v>
      </c>
      <c r="C65" s="4">
        <f>IFERROR(__xludf.DUMMYFUNCTION("""COMPUTED_VALUE"""),350.0)</f>
        <v>350</v>
      </c>
      <c r="D65" s="4" t="str">
        <f>IFERROR(__xludf.DUMMYFUNCTION("""COMPUTED_VALUE"""),"GPay")</f>
        <v>GPay</v>
      </c>
    </row>
    <row r="66">
      <c r="A66" s="4" t="str">
        <f>IFERROR(__xludf.DUMMYFUNCTION("""COMPUTED_VALUE"""),"प्रीतम चौधरी")</f>
        <v>प्रीतम चौधरी</v>
      </c>
      <c r="B66" s="4">
        <f>IFERROR(__xludf.DUMMYFUNCTION("""COMPUTED_VALUE"""),38.0)</f>
        <v>38</v>
      </c>
      <c r="C66" s="4">
        <f>IFERROR(__xludf.DUMMYFUNCTION("""COMPUTED_VALUE"""),350.0)</f>
        <v>350</v>
      </c>
      <c r="D66" s="4" t="str">
        <f>IFERROR(__xludf.DUMMYFUNCTION("""COMPUTED_VALUE"""),"GPay")</f>
        <v>GPay</v>
      </c>
    </row>
    <row r="67">
      <c r="A67" s="4" t="str">
        <f>IFERROR(__xludf.DUMMYFUNCTION("""COMPUTED_VALUE"""),"प्रतिक चौधरी")</f>
        <v>प्रतिक चौधरी</v>
      </c>
      <c r="B67" s="4">
        <f>IFERROR(__xludf.DUMMYFUNCTION("""COMPUTED_VALUE"""),38.0)</f>
        <v>38</v>
      </c>
      <c r="C67" s="4">
        <f>IFERROR(__xludf.DUMMYFUNCTION("""COMPUTED_VALUE"""),0.0)</f>
        <v>0</v>
      </c>
      <c r="D67" s="4"/>
    </row>
    <row r="68">
      <c r="A68" s="4" t="str">
        <f>IFERROR(__xludf.DUMMYFUNCTION("""COMPUTED_VALUE"""),"अनिश चौधरी")</f>
        <v>अनिश चौधरी</v>
      </c>
      <c r="B68" s="4">
        <f>IFERROR(__xludf.DUMMYFUNCTION("""COMPUTED_VALUE"""),38.0)</f>
        <v>38</v>
      </c>
      <c r="C68" s="4">
        <f>IFERROR(__xludf.DUMMYFUNCTION("""COMPUTED_VALUE"""),0.0)</f>
        <v>0</v>
      </c>
      <c r="D68" s="4" t="str">
        <f>IFERROR(__xludf.DUMMYFUNCTION("""COMPUTED_VALUE"""),"Pending")</f>
        <v>Pending</v>
      </c>
    </row>
    <row r="69">
      <c r="A69" s="4" t="str">
        <f>IFERROR(__xludf.DUMMYFUNCTION("""COMPUTED_VALUE"""),"कांचन चौधरी")</f>
        <v>कांचन चौधरी</v>
      </c>
      <c r="B69" s="4">
        <f>IFERROR(__xludf.DUMMYFUNCTION("""COMPUTED_VALUE"""),38.0)</f>
        <v>38</v>
      </c>
      <c r="C69" s="4">
        <f>IFERROR(__xludf.DUMMYFUNCTION("""COMPUTED_VALUE"""),0.0)</f>
        <v>0</v>
      </c>
      <c r="D69" s="4"/>
    </row>
    <row r="70">
      <c r="A70" s="4" t="str">
        <f>IFERROR(__xludf.DUMMYFUNCTION("""COMPUTED_VALUE"""),"जितू चौधरी")</f>
        <v>जितू चौधरी</v>
      </c>
      <c r="B70" s="4">
        <f>IFERROR(__xludf.DUMMYFUNCTION("""COMPUTED_VALUE"""),38.0)</f>
        <v>38</v>
      </c>
      <c r="C70" s="4">
        <f>IFERROR(__xludf.DUMMYFUNCTION("""COMPUTED_VALUE"""),200.0)</f>
        <v>200</v>
      </c>
      <c r="D70" s="4" t="str">
        <f>IFERROR(__xludf.DUMMYFUNCTION("""COMPUTED_VALUE"""),"GPay")</f>
        <v>GPay</v>
      </c>
    </row>
    <row r="71">
      <c r="A71" s="4" t="str">
        <f>IFERROR(__xludf.DUMMYFUNCTION("""COMPUTED_VALUE"""),"निकेत चौधरी")</f>
        <v>निकेत चौधरी</v>
      </c>
      <c r="B71" s="4">
        <f>IFERROR(__xludf.DUMMYFUNCTION("""COMPUTED_VALUE"""),38.0)</f>
        <v>38</v>
      </c>
      <c r="C71" s="4">
        <f>IFERROR(__xludf.DUMMYFUNCTION("""COMPUTED_VALUE"""),350.0)</f>
        <v>350</v>
      </c>
      <c r="D71" s="4" t="str">
        <f>IFERROR(__xludf.DUMMYFUNCTION("""COMPUTED_VALUE"""),"GPay")</f>
        <v>GPay</v>
      </c>
    </row>
    <row r="72">
      <c r="A72" s="4" t="str">
        <f>IFERROR(__xludf.DUMMYFUNCTION("""COMPUTED_VALUE"""),"मयूर धनमेहर ")</f>
        <v>मयूर धनमेहर </v>
      </c>
      <c r="B72" s="4">
        <f>IFERROR(__xludf.DUMMYFUNCTION("""COMPUTED_VALUE"""),38.0)</f>
        <v>38</v>
      </c>
      <c r="C72" s="4">
        <f>IFERROR(__xludf.DUMMYFUNCTION("""COMPUTED_VALUE"""),0.0)</f>
        <v>0</v>
      </c>
      <c r="D72" s="4"/>
    </row>
    <row r="73">
      <c r="A73" s="4" t="str">
        <f>IFERROR(__xludf.DUMMYFUNCTION("""COMPUTED_VALUE"""),"हेमचंद्र मेहेर")</f>
        <v>हेमचंद्र मेहेर</v>
      </c>
      <c r="B73" s="4">
        <f>IFERROR(__xludf.DUMMYFUNCTION("""COMPUTED_VALUE"""),38.0)</f>
        <v>38</v>
      </c>
      <c r="C73" s="4">
        <f>IFERROR(__xludf.DUMMYFUNCTION("""COMPUTED_VALUE"""),0.0)</f>
        <v>0</v>
      </c>
      <c r="D73" s="4"/>
    </row>
    <row r="74">
      <c r="A74" s="4" t="str">
        <f>IFERROR(__xludf.DUMMYFUNCTION("""COMPUTED_VALUE"""),"हेमंत नाईक")</f>
        <v>हेमंत नाईक</v>
      </c>
      <c r="B74" s="4">
        <f>IFERROR(__xludf.DUMMYFUNCTION("""COMPUTED_VALUE"""),38.0)</f>
        <v>38</v>
      </c>
      <c r="C74" s="4">
        <f>IFERROR(__xludf.DUMMYFUNCTION("""COMPUTED_VALUE"""),200.0)</f>
        <v>200</v>
      </c>
      <c r="D74" s="4" t="str">
        <f>IFERROR(__xludf.DUMMYFUNCTION("""COMPUTED_VALUE"""),"GPay")</f>
        <v>GPay</v>
      </c>
    </row>
    <row r="75">
      <c r="A75" s="4" t="str">
        <f>IFERROR(__xludf.DUMMYFUNCTION("""COMPUTED_VALUE"""),"रोहन मेहेर")</f>
        <v>रोहन मेहेर</v>
      </c>
      <c r="B75" s="4">
        <f>IFERROR(__xludf.DUMMYFUNCTION("""COMPUTED_VALUE"""),38.0)</f>
        <v>38</v>
      </c>
      <c r="C75" s="4">
        <f>IFERROR(__xludf.DUMMYFUNCTION("""COMPUTED_VALUE"""),200.0)</f>
        <v>200</v>
      </c>
      <c r="D75" s="4" t="str">
        <f>IFERROR(__xludf.DUMMYFUNCTION("""COMPUTED_VALUE"""),"Cash")</f>
        <v>Cash</v>
      </c>
    </row>
    <row r="76">
      <c r="A76" s="4" t="str">
        <f>IFERROR(__xludf.DUMMYFUNCTION("""COMPUTED_VALUE"""),"ध्रुव तांडेल ")</f>
        <v>ध्रुव तांडेल </v>
      </c>
      <c r="B76" s="4">
        <f>IFERROR(__xludf.DUMMYFUNCTION("""COMPUTED_VALUE"""),38.0)</f>
        <v>38</v>
      </c>
      <c r="C76" s="4">
        <f>IFERROR(__xludf.DUMMYFUNCTION("""COMPUTED_VALUE"""),350.0)</f>
        <v>350</v>
      </c>
      <c r="D76" s="4" t="str">
        <f>IFERROR(__xludf.DUMMYFUNCTION("""COMPUTED_VALUE"""),"Cash")</f>
        <v>Cash</v>
      </c>
    </row>
    <row r="77">
      <c r="A77" s="4" t="str">
        <f>IFERROR(__xludf.DUMMYFUNCTION("""COMPUTED_VALUE"""),"यश राऊत ")</f>
        <v>यश राऊत </v>
      </c>
      <c r="B77" s="4">
        <f>IFERROR(__xludf.DUMMYFUNCTION("""COMPUTED_VALUE"""),38.0)</f>
        <v>38</v>
      </c>
      <c r="C77" s="4">
        <f>IFERROR(__xludf.DUMMYFUNCTION("""COMPUTED_VALUE"""),0.0)</f>
        <v>0</v>
      </c>
      <c r="D77" s="4"/>
    </row>
    <row r="78">
      <c r="A78" s="4" t="str">
        <f>IFERROR(__xludf.DUMMYFUNCTION("""COMPUTED_VALUE"""),"अमोल राऊत ")</f>
        <v>अमोल राऊत </v>
      </c>
      <c r="B78" s="4">
        <f>IFERROR(__xludf.DUMMYFUNCTION("""COMPUTED_VALUE"""),38.0)</f>
        <v>38</v>
      </c>
      <c r="C78" s="4">
        <f>IFERROR(__xludf.DUMMYFUNCTION("""COMPUTED_VALUE"""),200.0)</f>
        <v>200</v>
      </c>
      <c r="D78" s="4" t="str">
        <f>IFERROR(__xludf.DUMMYFUNCTION("""COMPUTED_VALUE"""),"GPay")</f>
        <v>GPay</v>
      </c>
    </row>
    <row r="79">
      <c r="A79" s="4" t="str">
        <f>IFERROR(__xludf.DUMMYFUNCTION("""COMPUTED_VALUE"""),"ध्रुव तांडेल ")</f>
        <v>ध्रुव तांडेल </v>
      </c>
      <c r="B79" s="4">
        <f>IFERROR(__xludf.DUMMYFUNCTION("""COMPUTED_VALUE"""),38.0)</f>
        <v>38</v>
      </c>
      <c r="C79" s="4">
        <f>IFERROR(__xludf.DUMMYFUNCTION("""COMPUTED_VALUE"""),350.0)</f>
        <v>350</v>
      </c>
      <c r="D79" s="4" t="str">
        <f>IFERROR(__xludf.DUMMYFUNCTION("""COMPUTED_VALUE"""),"Cash")</f>
        <v>Cash</v>
      </c>
    </row>
    <row r="80">
      <c r="A80" s="4" t="str">
        <f>IFERROR(__xludf.DUMMYFUNCTION("""COMPUTED_VALUE"""),"चिराग चौधरी ")</f>
        <v>चिराग चौधरी </v>
      </c>
      <c r="B80" s="4">
        <f>IFERROR(__xludf.DUMMYFUNCTION("""COMPUTED_VALUE"""),38.0)</f>
        <v>38</v>
      </c>
      <c r="C80" s="4">
        <f>IFERROR(__xludf.DUMMYFUNCTION("""COMPUTED_VALUE"""),0.0)</f>
        <v>0</v>
      </c>
      <c r="D80" s="4"/>
    </row>
    <row r="81">
      <c r="A81" s="4" t="str">
        <f>IFERROR(__xludf.DUMMYFUNCTION("""COMPUTED_VALUE"""),"नितेश चौधरी")</f>
        <v>नितेश चौधरी</v>
      </c>
      <c r="B81" s="4">
        <f>IFERROR(__xludf.DUMMYFUNCTION("""COMPUTED_VALUE"""),38.0)</f>
        <v>38</v>
      </c>
      <c r="C81" s="4">
        <f>IFERROR(__xludf.DUMMYFUNCTION("""COMPUTED_VALUE"""),200.0)</f>
        <v>200</v>
      </c>
      <c r="D81" s="4" t="str">
        <f>IFERROR(__xludf.DUMMYFUNCTION("""COMPUTED_VALUE"""),"GPay")</f>
        <v>GPay</v>
      </c>
    </row>
    <row r="82">
      <c r="A82" s="4" t="str">
        <f>IFERROR(__xludf.DUMMYFUNCTION("""COMPUTED_VALUE"""),"प्रज्योत धनु ")</f>
        <v>प्रज्योत धनु </v>
      </c>
      <c r="B82" s="4">
        <f>IFERROR(__xludf.DUMMYFUNCTION("""COMPUTED_VALUE"""),38.0)</f>
        <v>38</v>
      </c>
      <c r="C82" s="4">
        <f>IFERROR(__xludf.DUMMYFUNCTION("""COMPUTED_VALUE"""),200.0)</f>
        <v>200</v>
      </c>
      <c r="D82" s="4" t="str">
        <f>IFERROR(__xludf.DUMMYFUNCTION("""COMPUTED_VALUE"""),"GPay")</f>
        <v>GPay</v>
      </c>
    </row>
    <row r="83">
      <c r="A83" s="4" t="str">
        <f>IFERROR(__xludf.DUMMYFUNCTION("""COMPUTED_VALUE"""),"तुषार तांडेल ")</f>
        <v>तुषार तांडेल </v>
      </c>
      <c r="B83" s="4">
        <f>IFERROR(__xludf.DUMMYFUNCTION("""COMPUTED_VALUE"""),38.0)</f>
        <v>38</v>
      </c>
      <c r="C83" s="4">
        <f>IFERROR(__xludf.DUMMYFUNCTION("""COMPUTED_VALUE"""),0.0)</f>
        <v>0</v>
      </c>
      <c r="D83" s="4"/>
    </row>
    <row r="84">
      <c r="A84" s="4" t="str">
        <f>IFERROR(__xludf.DUMMYFUNCTION("""COMPUTED_VALUE"""),"सोहम आरेकर")</f>
        <v>सोहम आरेकर</v>
      </c>
      <c r="B84" s="4">
        <f>IFERROR(__xludf.DUMMYFUNCTION("""COMPUTED_VALUE"""),38.0)</f>
        <v>38</v>
      </c>
      <c r="C84" s="4">
        <f>IFERROR(__xludf.DUMMYFUNCTION("""COMPUTED_VALUE"""),350.0)</f>
        <v>350</v>
      </c>
      <c r="D84" s="4" t="str">
        <f>IFERROR(__xludf.DUMMYFUNCTION("""COMPUTED_VALUE"""),"Cash")</f>
        <v>Cash</v>
      </c>
    </row>
    <row r="85">
      <c r="A85" s="4" t="str">
        <f>IFERROR(__xludf.DUMMYFUNCTION("""COMPUTED_VALUE"""),"प्रणय तांडेल")</f>
        <v>प्रणय तांडेल</v>
      </c>
      <c r="B85" s="4">
        <f>IFERROR(__xludf.DUMMYFUNCTION("""COMPUTED_VALUE"""),38.0)</f>
        <v>38</v>
      </c>
      <c r="C85" s="4">
        <f>IFERROR(__xludf.DUMMYFUNCTION("""COMPUTED_VALUE"""),200.0)</f>
        <v>200</v>
      </c>
      <c r="D85" s="4" t="str">
        <f>IFERROR(__xludf.DUMMYFUNCTION("""COMPUTED_VALUE"""),"Cash")</f>
        <v>Cash</v>
      </c>
    </row>
    <row r="86">
      <c r="A86" s="4" t="str">
        <f>IFERROR(__xludf.DUMMYFUNCTION("""COMPUTED_VALUE"""),"अक्षय चौधरी")</f>
        <v>अक्षय चौधरी</v>
      </c>
      <c r="B86" s="4">
        <f>IFERROR(__xludf.DUMMYFUNCTION("""COMPUTED_VALUE"""),38.0)</f>
        <v>38</v>
      </c>
      <c r="C86" s="4">
        <f>IFERROR(__xludf.DUMMYFUNCTION("""COMPUTED_VALUE"""),200.0)</f>
        <v>200</v>
      </c>
      <c r="D86" s="4" t="str">
        <f>IFERROR(__xludf.DUMMYFUNCTION("""COMPUTED_VALUE"""),"GPay")</f>
        <v>GPay</v>
      </c>
    </row>
    <row r="87">
      <c r="A87" s="4" t="str">
        <f>IFERROR(__xludf.DUMMYFUNCTION("""COMPUTED_VALUE"""),"प्रणय चौधरी")</f>
        <v>प्रणय चौधरी</v>
      </c>
      <c r="B87" s="4">
        <f>IFERROR(__xludf.DUMMYFUNCTION("""COMPUTED_VALUE"""),38.0)</f>
        <v>38</v>
      </c>
      <c r="C87" s="4">
        <f>IFERROR(__xludf.DUMMYFUNCTION("""COMPUTED_VALUE"""),200.0)</f>
        <v>200</v>
      </c>
      <c r="D87" s="4" t="str">
        <f>IFERROR(__xludf.DUMMYFUNCTION("""COMPUTED_VALUE"""),"GPay")</f>
        <v>GPay</v>
      </c>
    </row>
    <row r="88">
      <c r="A88" s="4" t="str">
        <f>IFERROR(__xludf.DUMMYFUNCTION("""COMPUTED_VALUE"""),"अमोल पाटील ")</f>
        <v>अमोल पाटील </v>
      </c>
      <c r="B88" s="4">
        <f>IFERROR(__xludf.DUMMYFUNCTION("""COMPUTED_VALUE"""),38.0)</f>
        <v>38</v>
      </c>
      <c r="C88" s="4">
        <f>IFERROR(__xludf.DUMMYFUNCTION("""COMPUTED_VALUE"""),200.0)</f>
        <v>200</v>
      </c>
      <c r="D88" s="4" t="str">
        <f>IFERROR(__xludf.DUMMYFUNCTION("""COMPUTED_VALUE"""),"Cash")</f>
        <v>Cash</v>
      </c>
    </row>
    <row r="89">
      <c r="A89" s="4" t="str">
        <f>IFERROR(__xludf.DUMMYFUNCTION("""COMPUTED_VALUE"""),"भुपेश मेहेर")</f>
        <v>भुपेश मेहेर</v>
      </c>
      <c r="B89" s="4">
        <f>IFERROR(__xludf.DUMMYFUNCTION("""COMPUTED_VALUE"""),38.0)</f>
        <v>38</v>
      </c>
      <c r="C89" s="4">
        <f>IFERROR(__xludf.DUMMYFUNCTION("""COMPUTED_VALUE"""),250.0)</f>
        <v>250</v>
      </c>
      <c r="D89" s="4" t="str">
        <f>IFERROR(__xludf.DUMMYFUNCTION("""COMPUTED_VALUE"""),"Cash")</f>
        <v>Cash</v>
      </c>
    </row>
    <row r="90">
      <c r="A90" s="4" t="str">
        <f>IFERROR(__xludf.DUMMYFUNCTION("""COMPUTED_VALUE"""),"स्मित तांडेल")</f>
        <v>स्मित तांडेल</v>
      </c>
      <c r="B90" s="4">
        <f>IFERROR(__xludf.DUMMYFUNCTION("""COMPUTED_VALUE"""),38.0)</f>
        <v>38</v>
      </c>
      <c r="C90" s="4">
        <f>IFERROR(__xludf.DUMMYFUNCTION("""COMPUTED_VALUE"""),200.0)</f>
        <v>200</v>
      </c>
      <c r="D90" s="4" t="str">
        <f>IFERROR(__xludf.DUMMYFUNCTION("""COMPUTED_VALUE"""),"Cash")</f>
        <v>Cash</v>
      </c>
    </row>
    <row r="91">
      <c r="A91" s="4" t="str">
        <f>IFERROR(__xludf.DUMMYFUNCTION("""COMPUTED_VALUE"""),"वंश तांडेल ")</f>
        <v>वंश तांडेल </v>
      </c>
      <c r="B91" s="4">
        <f>IFERROR(__xludf.DUMMYFUNCTION("""COMPUTED_VALUE"""),38.0)</f>
        <v>38</v>
      </c>
      <c r="C91" s="4">
        <f>IFERROR(__xludf.DUMMYFUNCTION("""COMPUTED_VALUE"""),0.0)</f>
        <v>0</v>
      </c>
      <c r="D91" s="4"/>
    </row>
    <row r="92">
      <c r="A92" s="4" t="str">
        <f>IFERROR(__xludf.DUMMYFUNCTION("""COMPUTED_VALUE"""),"वंश तांडेल ")</f>
        <v>वंश तांडेल </v>
      </c>
      <c r="B92" s="4">
        <f>IFERROR(__xludf.DUMMYFUNCTION("""COMPUTED_VALUE"""),38.0)</f>
        <v>38</v>
      </c>
      <c r="C92" s="4">
        <f>IFERROR(__xludf.DUMMYFUNCTION("""COMPUTED_VALUE"""),0.0)</f>
        <v>0</v>
      </c>
      <c r="D92" s="4"/>
    </row>
    <row r="93">
      <c r="A93" s="4" t="str">
        <f>IFERROR(__xludf.DUMMYFUNCTION("""COMPUTED_VALUE"""),"वंश तांडेल ")</f>
        <v>वंश तांडेल </v>
      </c>
      <c r="B93" s="4">
        <f>IFERROR(__xludf.DUMMYFUNCTION("""COMPUTED_VALUE"""),38.0)</f>
        <v>38</v>
      </c>
      <c r="C93" s="4">
        <f>IFERROR(__xludf.DUMMYFUNCTION("""COMPUTED_VALUE"""),0.0)</f>
        <v>0</v>
      </c>
      <c r="D93" s="4"/>
    </row>
    <row r="94">
      <c r="A94" s="4" t="str">
        <f>IFERROR(__xludf.DUMMYFUNCTION("""COMPUTED_VALUE"""),"चिरायु केणी ")</f>
        <v>चिरायु केणी </v>
      </c>
      <c r="B94" s="4">
        <f>IFERROR(__xludf.DUMMYFUNCTION("""COMPUTED_VALUE"""),38.0)</f>
        <v>38</v>
      </c>
      <c r="C94" s="4">
        <f>IFERROR(__xludf.DUMMYFUNCTION("""COMPUTED_VALUE"""),350.0)</f>
        <v>350</v>
      </c>
      <c r="D94" s="4" t="str">
        <f>IFERROR(__xludf.DUMMYFUNCTION("""COMPUTED_VALUE"""),"GPay")</f>
        <v>GPay</v>
      </c>
    </row>
    <row r="95">
      <c r="A95" s="4" t="str">
        <f>IFERROR(__xludf.DUMMYFUNCTION("""COMPUTED_VALUE"""),"विनोद मेहेर")</f>
        <v>विनोद मेहेर</v>
      </c>
      <c r="B95" s="4">
        <f>IFERROR(__xludf.DUMMYFUNCTION("""COMPUTED_VALUE"""),38.0)</f>
        <v>38</v>
      </c>
      <c r="C95" s="4">
        <f>IFERROR(__xludf.DUMMYFUNCTION("""COMPUTED_VALUE"""),350.0)</f>
        <v>350</v>
      </c>
      <c r="D95" s="4" t="str">
        <f>IFERROR(__xludf.DUMMYFUNCTION("""COMPUTED_VALUE"""),"GPay")</f>
        <v>GPay</v>
      </c>
    </row>
    <row r="96">
      <c r="A96" s="4" t="str">
        <f>IFERROR(__xludf.DUMMYFUNCTION("""COMPUTED_VALUE"""),"हर्ष तामोरे ")</f>
        <v>हर्ष तामोरे </v>
      </c>
      <c r="B96" s="4">
        <f>IFERROR(__xludf.DUMMYFUNCTION("""COMPUTED_VALUE"""),36.0)</f>
        <v>36</v>
      </c>
      <c r="C96" s="4">
        <f>IFERROR(__xludf.DUMMYFUNCTION("""COMPUTED_VALUE"""),200.0)</f>
        <v>200</v>
      </c>
      <c r="D96" s="4" t="str">
        <f>IFERROR(__xludf.DUMMYFUNCTION("""COMPUTED_VALUE"""),"Cash")</f>
        <v>Cash</v>
      </c>
    </row>
    <row r="97">
      <c r="A97" s="4" t="str">
        <f>IFERROR(__xludf.DUMMYFUNCTION("""COMPUTED_VALUE"""),"तनिष राऊत ")</f>
        <v>तनिष राऊत </v>
      </c>
      <c r="B97" s="4">
        <f>IFERROR(__xludf.DUMMYFUNCTION("""COMPUTED_VALUE"""),36.0)</f>
        <v>36</v>
      </c>
      <c r="C97" s="4">
        <f>IFERROR(__xludf.DUMMYFUNCTION("""COMPUTED_VALUE"""),200.0)</f>
        <v>200</v>
      </c>
      <c r="D97" s="4" t="str">
        <f>IFERROR(__xludf.DUMMYFUNCTION("""COMPUTED_VALUE"""),"Cash")</f>
        <v>Cash</v>
      </c>
    </row>
    <row r="98">
      <c r="A98" s="4" t="str">
        <f>IFERROR(__xludf.DUMMYFUNCTION("""COMPUTED_VALUE"""),"तक्ष चौधरी")</f>
        <v>तक्ष चौधरी</v>
      </c>
      <c r="B98" s="4">
        <f>IFERROR(__xludf.DUMMYFUNCTION("""COMPUTED_VALUE"""),36.0)</f>
        <v>36</v>
      </c>
      <c r="C98" s="4">
        <f>IFERROR(__xludf.DUMMYFUNCTION("""COMPUTED_VALUE"""),200.0)</f>
        <v>200</v>
      </c>
      <c r="D98" s="4" t="str">
        <f>IFERROR(__xludf.DUMMYFUNCTION("""COMPUTED_VALUE"""),"GPay")</f>
        <v>GPay</v>
      </c>
    </row>
    <row r="99">
      <c r="A99" s="4" t="str">
        <f>IFERROR(__xludf.DUMMYFUNCTION("""COMPUTED_VALUE"""),"तुषार नाईक")</f>
        <v>तुषार नाईक</v>
      </c>
      <c r="B99" s="4">
        <f>IFERROR(__xludf.DUMMYFUNCTION("""COMPUTED_VALUE"""),36.0)</f>
        <v>36</v>
      </c>
      <c r="C99" s="4">
        <f>IFERROR(__xludf.DUMMYFUNCTION("""COMPUTED_VALUE"""),200.0)</f>
        <v>200</v>
      </c>
      <c r="D99" s="4" t="str">
        <f>IFERROR(__xludf.DUMMYFUNCTION("""COMPUTED_VALUE"""),"GPay")</f>
        <v>GPay</v>
      </c>
    </row>
    <row r="100">
      <c r="A100" s="4" t="str">
        <f>IFERROR(__xludf.DUMMYFUNCTION("""COMPUTED_VALUE"""),"साई मेहेर")</f>
        <v>साई मेहेर</v>
      </c>
      <c r="B100" s="4">
        <f>IFERROR(__xludf.DUMMYFUNCTION("""COMPUTED_VALUE"""),36.0)</f>
        <v>36</v>
      </c>
      <c r="C100" s="4">
        <f>IFERROR(__xludf.DUMMYFUNCTION("""COMPUTED_VALUE"""),0.0)</f>
        <v>0</v>
      </c>
      <c r="D100" s="4"/>
    </row>
    <row r="101">
      <c r="A101" s="4" t="str">
        <f>IFERROR(__xludf.DUMMYFUNCTION("""COMPUTED_VALUE"""),"अमोल राऊत ")</f>
        <v>अमोल राऊत </v>
      </c>
      <c r="B101" s="4">
        <f>IFERROR(__xludf.DUMMYFUNCTION("""COMPUTED_VALUE"""),36.0)</f>
        <v>36</v>
      </c>
      <c r="C101" s="4">
        <f>IFERROR(__xludf.DUMMYFUNCTION("""COMPUTED_VALUE"""),200.0)</f>
        <v>200</v>
      </c>
      <c r="D101" s="4" t="str">
        <f>IFERROR(__xludf.DUMMYFUNCTION("""COMPUTED_VALUE"""),"GPay")</f>
        <v>GPay</v>
      </c>
    </row>
    <row r="102">
      <c r="A102" s="4" t="str">
        <f>IFERROR(__xludf.DUMMYFUNCTION("""COMPUTED_VALUE"""),"हर्षित राऊत ")</f>
        <v>हर्षित राऊत </v>
      </c>
      <c r="B102" s="4">
        <f>IFERROR(__xludf.DUMMYFUNCTION("""COMPUTED_VALUE"""),36.0)</f>
        <v>36</v>
      </c>
      <c r="C102" s="4">
        <f>IFERROR(__xludf.DUMMYFUNCTION("""COMPUTED_VALUE"""),200.0)</f>
        <v>200</v>
      </c>
      <c r="D102" s="4" t="str">
        <f>IFERROR(__xludf.DUMMYFUNCTION("""COMPUTED_VALUE"""),"Cash")</f>
        <v>Cash</v>
      </c>
    </row>
    <row r="103">
      <c r="A103" s="4" t="str">
        <f>IFERROR(__xludf.DUMMYFUNCTION("""COMPUTED_VALUE"""),"जित राऊत ")</f>
        <v>जित राऊत </v>
      </c>
      <c r="B103" s="4">
        <f>IFERROR(__xludf.DUMMYFUNCTION("""COMPUTED_VALUE"""),36.0)</f>
        <v>36</v>
      </c>
      <c r="C103" s="4">
        <f>IFERROR(__xludf.DUMMYFUNCTION("""COMPUTED_VALUE"""),200.0)</f>
        <v>200</v>
      </c>
      <c r="D103" s="4" t="str">
        <f>IFERROR(__xludf.DUMMYFUNCTION("""COMPUTED_VALUE"""),"Cash")</f>
        <v>Cash</v>
      </c>
    </row>
    <row r="104">
      <c r="A104" s="4" t="str">
        <f>IFERROR(__xludf.DUMMYFUNCTION("""COMPUTED_VALUE"""),"जिग्नेश चौधरी")</f>
        <v>जिग्नेश चौधरी</v>
      </c>
      <c r="B104" s="4">
        <f>IFERROR(__xludf.DUMMYFUNCTION("""COMPUTED_VALUE"""),36.0)</f>
        <v>36</v>
      </c>
      <c r="C104" s="4">
        <f>IFERROR(__xludf.DUMMYFUNCTION("""COMPUTED_VALUE"""),200.0)</f>
        <v>200</v>
      </c>
      <c r="D104" s="4" t="str">
        <f>IFERROR(__xludf.DUMMYFUNCTION("""COMPUTED_VALUE"""),"GPay")</f>
        <v>GPay</v>
      </c>
    </row>
    <row r="105">
      <c r="A105" s="4" t="str">
        <f>IFERROR(__xludf.DUMMYFUNCTION("""COMPUTED_VALUE"""),"सोहम राऊत ")</f>
        <v>सोहम राऊत </v>
      </c>
      <c r="B105" s="4">
        <f>IFERROR(__xludf.DUMMYFUNCTION("""COMPUTED_VALUE"""),36.0)</f>
        <v>36</v>
      </c>
      <c r="C105" s="4">
        <f>IFERROR(__xludf.DUMMYFUNCTION("""COMPUTED_VALUE"""),200.0)</f>
        <v>200</v>
      </c>
      <c r="D105" s="4" t="str">
        <f>IFERROR(__xludf.DUMMYFUNCTION("""COMPUTED_VALUE"""),"Cash")</f>
        <v>Cash</v>
      </c>
    </row>
    <row r="106">
      <c r="A106" s="4" t="str">
        <f>IFERROR(__xludf.DUMMYFUNCTION("""COMPUTED_VALUE"""),"कुणाल")</f>
        <v>कुणाल</v>
      </c>
      <c r="B106" s="4">
        <f>IFERROR(__xludf.DUMMYFUNCTION("""COMPUTED_VALUE"""),36.0)</f>
        <v>36</v>
      </c>
      <c r="C106" s="4">
        <f>IFERROR(__xludf.DUMMYFUNCTION("""COMPUTED_VALUE"""),200.0)</f>
        <v>200</v>
      </c>
      <c r="D106" s="4" t="str">
        <f>IFERROR(__xludf.DUMMYFUNCTION("""COMPUTED_VALUE"""),"Cash")</f>
        <v>Cash</v>
      </c>
    </row>
    <row r="107">
      <c r="A107" s="4" t="str">
        <f>IFERROR(__xludf.DUMMYFUNCTION("""COMPUTED_VALUE"""),"आराध्य राऊत")</f>
        <v>आराध्य राऊत</v>
      </c>
      <c r="B107" s="4">
        <f>IFERROR(__xludf.DUMMYFUNCTION("""COMPUTED_VALUE"""),34.0)</f>
        <v>34</v>
      </c>
      <c r="C107" s="4">
        <f>IFERROR(__xludf.DUMMYFUNCTION("""COMPUTED_VALUE"""),200.0)</f>
        <v>200</v>
      </c>
      <c r="D107" s="4" t="str">
        <f>IFERROR(__xludf.DUMMYFUNCTION("""COMPUTED_VALUE"""),"Cash")</f>
        <v>Cash</v>
      </c>
    </row>
    <row r="108">
      <c r="A108" s="4" t="str">
        <f>IFERROR(__xludf.DUMMYFUNCTION("""COMPUTED_VALUE"""),"अंश राऊत ")</f>
        <v>अंश राऊत </v>
      </c>
      <c r="B108" s="4">
        <f>IFERROR(__xludf.DUMMYFUNCTION("""COMPUTED_VALUE"""),32.0)</f>
        <v>32</v>
      </c>
      <c r="C108" s="4">
        <f>IFERROR(__xludf.DUMMYFUNCTION("""COMPUTED_VALUE"""),200.0)</f>
        <v>200</v>
      </c>
      <c r="D108" s="4" t="str">
        <f>IFERROR(__xludf.DUMMYFUNCTION("""COMPUTED_VALUE"""),"GPay")</f>
        <v>GPay</v>
      </c>
    </row>
    <row r="109">
      <c r="A109" s="4" t="str">
        <f>IFERROR(__xludf.DUMMYFUNCTION("""COMPUTED_VALUE"""),"उत्कर्ष राऊत ")</f>
        <v>उत्कर्ष राऊत </v>
      </c>
      <c r="B109" s="4">
        <f>IFERROR(__xludf.DUMMYFUNCTION("""COMPUTED_VALUE"""),32.0)</f>
        <v>32</v>
      </c>
      <c r="C109" s="4">
        <f>IFERROR(__xludf.DUMMYFUNCTION("""COMPUTED_VALUE"""),200.0)</f>
        <v>200</v>
      </c>
      <c r="D109" s="4" t="str">
        <f>IFERROR(__xludf.DUMMYFUNCTION("""COMPUTED_VALUE"""),"Cash")</f>
        <v>Cash</v>
      </c>
    </row>
    <row r="110">
      <c r="A110" s="4" t="str">
        <f>IFERROR(__xludf.DUMMYFUNCTION("""COMPUTED_VALUE"""),"जित चौधरी")</f>
        <v>जित चौधरी</v>
      </c>
      <c r="B110" s="4">
        <f>IFERROR(__xludf.DUMMYFUNCTION("""COMPUTED_VALUE"""),32.0)</f>
        <v>32</v>
      </c>
      <c r="C110" s="4">
        <f>IFERROR(__xludf.DUMMYFUNCTION("""COMPUTED_VALUE"""),200.0)</f>
        <v>200</v>
      </c>
      <c r="D110" s="4" t="str">
        <f>IFERROR(__xludf.DUMMYFUNCTION("""COMPUTED_VALUE"""),"GPay")</f>
        <v>GPay</v>
      </c>
    </row>
    <row r="111">
      <c r="A111" s="4" t="str">
        <f>IFERROR(__xludf.DUMMYFUNCTION("""COMPUTED_VALUE"""),"सानवी तांडेल ")</f>
        <v>सानवी तांडेल </v>
      </c>
      <c r="B111" s="4">
        <f>IFERROR(__xludf.DUMMYFUNCTION("""COMPUTED_VALUE"""),32.0)</f>
        <v>32</v>
      </c>
      <c r="C111" s="4">
        <f>IFERROR(__xludf.DUMMYFUNCTION("""COMPUTED_VALUE"""),200.0)</f>
        <v>200</v>
      </c>
      <c r="D111" s="4" t="str">
        <f>IFERROR(__xludf.DUMMYFUNCTION("""COMPUTED_VALUE"""),"GPay")</f>
        <v>GPay</v>
      </c>
    </row>
    <row r="112">
      <c r="A112" s="4" t="str">
        <f>IFERROR(__xludf.DUMMYFUNCTION("""COMPUTED_VALUE"""),"उत्कर्ष धनु ")</f>
        <v>उत्कर्ष धनु </v>
      </c>
      <c r="B112" s="4">
        <f>IFERROR(__xludf.DUMMYFUNCTION("""COMPUTED_VALUE"""),32.0)</f>
        <v>32</v>
      </c>
      <c r="C112" s="4">
        <f>IFERROR(__xludf.DUMMYFUNCTION("""COMPUTED_VALUE"""),200.0)</f>
        <v>200</v>
      </c>
      <c r="D112" s="4" t="str">
        <f>IFERROR(__xludf.DUMMYFUNCTION("""COMPUTED_VALUE"""),"Cash")</f>
        <v>Cash</v>
      </c>
    </row>
    <row r="113">
      <c r="A113" s="4" t="str">
        <f>IFERROR(__xludf.DUMMYFUNCTION("""COMPUTED_VALUE"""),"प्रणय तांडेल ")</f>
        <v>प्रणय तांडेल </v>
      </c>
      <c r="B113" s="4">
        <f>IFERROR(__xludf.DUMMYFUNCTION("""COMPUTED_VALUE"""),32.0)</f>
        <v>32</v>
      </c>
      <c r="C113" s="4">
        <f>IFERROR(__xludf.DUMMYFUNCTION("""COMPUTED_VALUE"""),200.0)</f>
        <v>200</v>
      </c>
      <c r="D113" s="4" t="str">
        <f>IFERROR(__xludf.DUMMYFUNCTION("""COMPUTED_VALUE"""),"Cash")</f>
        <v>Cash</v>
      </c>
    </row>
    <row r="114">
      <c r="A114" s="4" t="str">
        <f>IFERROR(__xludf.DUMMYFUNCTION("""COMPUTED_VALUE"""),"खुशी मेहेर")</f>
        <v>खुशी मेहेर</v>
      </c>
      <c r="B114" s="4">
        <f>IFERROR(__xludf.DUMMYFUNCTION("""COMPUTED_VALUE"""),32.0)</f>
        <v>32</v>
      </c>
      <c r="C114" s="4">
        <f>IFERROR(__xludf.DUMMYFUNCTION("""COMPUTED_VALUE"""),250.0)</f>
        <v>250</v>
      </c>
      <c r="D114" s="4" t="str">
        <f>IFERROR(__xludf.DUMMYFUNCTION("""COMPUTED_VALUE"""),"Cash")</f>
        <v>Cash</v>
      </c>
    </row>
    <row r="115">
      <c r="A115" s="4" t="str">
        <f>IFERROR(__xludf.DUMMYFUNCTION("""COMPUTED_VALUE"""),"अमोल राऊत ")</f>
        <v>अमोल राऊत </v>
      </c>
      <c r="B115" s="4">
        <f>IFERROR(__xludf.DUMMYFUNCTION("""COMPUTED_VALUE"""),30.0)</f>
        <v>30</v>
      </c>
      <c r="C115" s="4">
        <f>IFERROR(__xludf.DUMMYFUNCTION("""COMPUTED_VALUE"""),200.0)</f>
        <v>200</v>
      </c>
      <c r="D115" s="4" t="str">
        <f>IFERROR(__xludf.DUMMYFUNCTION("""COMPUTED_VALUE"""),"GPay")</f>
        <v>GPay</v>
      </c>
    </row>
    <row r="116">
      <c r="A116" s="4" t="str">
        <f>IFERROR(__xludf.DUMMYFUNCTION("""COMPUTED_VALUE"""),"भावर्थ नाईक")</f>
        <v>भावर्थ नाईक</v>
      </c>
      <c r="B116" s="4">
        <f>IFERROR(__xludf.DUMMYFUNCTION("""COMPUTED_VALUE"""),30.0)</f>
        <v>30</v>
      </c>
      <c r="C116" s="4">
        <f>IFERROR(__xludf.DUMMYFUNCTION("""COMPUTED_VALUE"""),200.0)</f>
        <v>200</v>
      </c>
      <c r="D116" s="4" t="str">
        <f>IFERROR(__xludf.DUMMYFUNCTION("""COMPUTED_VALUE"""),"Cash")</f>
        <v>Cash</v>
      </c>
    </row>
    <row r="117">
      <c r="A117" s="4" t="str">
        <f>IFERROR(__xludf.DUMMYFUNCTION("""COMPUTED_VALUE"""),"प्रणय तांडेल ")</f>
        <v>प्रणय तांडेल </v>
      </c>
      <c r="B117" s="4">
        <f>IFERROR(__xludf.DUMMYFUNCTION("""COMPUTED_VALUE"""),30.0)</f>
        <v>30</v>
      </c>
      <c r="C117" s="4">
        <f>IFERROR(__xludf.DUMMYFUNCTION("""COMPUTED_VALUE"""),200.0)</f>
        <v>200</v>
      </c>
      <c r="D117" s="4" t="str">
        <f>IFERROR(__xludf.DUMMYFUNCTION("""COMPUTED_VALUE"""),"Cash")</f>
        <v>Cash</v>
      </c>
    </row>
    <row r="118">
      <c r="A118" s="4" t="str">
        <f>IFERROR(__xludf.DUMMYFUNCTION("""COMPUTED_VALUE"""),"रोहित तांडेल")</f>
        <v>रोहित तांडेल</v>
      </c>
      <c r="B118" s="4">
        <f>IFERROR(__xludf.DUMMYFUNCTION("""COMPUTED_VALUE"""),30.0)</f>
        <v>30</v>
      </c>
      <c r="C118" s="4">
        <f>IFERROR(__xludf.DUMMYFUNCTION("""COMPUTED_VALUE"""),0.0)</f>
        <v>0</v>
      </c>
      <c r="D118" s="4"/>
    </row>
    <row r="119">
      <c r="A119" s="4" t="str">
        <f>IFERROR(__xludf.DUMMYFUNCTION("""COMPUTED_VALUE"""),"जयस्तू चौधरी ")</f>
        <v>जयस्तू चौधरी </v>
      </c>
      <c r="B119" s="4">
        <f>IFERROR(__xludf.DUMMYFUNCTION("""COMPUTED_VALUE"""),30.0)</f>
        <v>30</v>
      </c>
      <c r="C119" s="4">
        <f>IFERROR(__xludf.DUMMYFUNCTION("""COMPUTED_VALUE"""),0.0)</f>
        <v>0</v>
      </c>
      <c r="D119" s="4"/>
    </row>
    <row r="120">
      <c r="A120" s="4" t="str">
        <f>IFERROR(__xludf.DUMMYFUNCTION("""COMPUTED_VALUE"""),"चिरायु केणी ")</f>
        <v>चिरायु केणी </v>
      </c>
      <c r="B120" s="4">
        <f>IFERROR(__xludf.DUMMYFUNCTION("""COMPUTED_VALUE"""),28.0)</f>
        <v>28</v>
      </c>
      <c r="C120" s="4">
        <f>IFERROR(__xludf.DUMMYFUNCTION("""COMPUTED_VALUE"""),0.0)</f>
        <v>0</v>
      </c>
      <c r="D120" s="4" t="str">
        <f>IFERROR(__xludf.DUMMYFUNCTION("""COMPUTED_VALUE"""),"Pending")</f>
        <v>Pending</v>
      </c>
    </row>
    <row r="121">
      <c r="A121" s="4" t="str">
        <f>IFERROR(__xludf.DUMMYFUNCTION("""COMPUTED_VALUE"""),"विहान तांडेल ")</f>
        <v>विहान तांडेल </v>
      </c>
      <c r="B121" s="4">
        <f>IFERROR(__xludf.DUMMYFUNCTION("""COMPUTED_VALUE"""),28.0)</f>
        <v>28</v>
      </c>
      <c r="C121" s="4">
        <f>IFERROR(__xludf.DUMMYFUNCTION("""COMPUTED_VALUE"""),200.0)</f>
        <v>200</v>
      </c>
      <c r="D121" s="4" t="str">
        <f>IFERROR(__xludf.DUMMYFUNCTION("""COMPUTED_VALUE"""),"GPay")</f>
        <v>GPay</v>
      </c>
    </row>
    <row r="122">
      <c r="A122" s="4" t="str">
        <f>IFERROR(__xludf.DUMMYFUNCTION("""COMPUTED_VALUE"""),"हास्य मेहेर ")</f>
        <v>हास्य मेहेर </v>
      </c>
      <c r="B122" s="4">
        <f>IFERROR(__xludf.DUMMYFUNCTION("""COMPUTED_VALUE"""),28.0)</f>
        <v>28</v>
      </c>
      <c r="C122" s="4">
        <f>IFERROR(__xludf.DUMMYFUNCTION("""COMPUTED_VALUE"""),0.0)</f>
        <v>0</v>
      </c>
      <c r="D122" s="4"/>
    </row>
    <row r="123">
      <c r="A123" s="4" t="str">
        <f>IFERROR(__xludf.DUMMYFUNCTION("""COMPUTED_VALUE"""),"विवान पागधरे ")</f>
        <v>विवान पागधरे </v>
      </c>
      <c r="B123" s="4">
        <f>IFERROR(__xludf.DUMMYFUNCTION("""COMPUTED_VALUE"""),28.0)</f>
        <v>28</v>
      </c>
      <c r="C123" s="4">
        <f>IFERROR(__xludf.DUMMYFUNCTION("""COMPUTED_VALUE"""),0.0)</f>
        <v>0</v>
      </c>
      <c r="D123" s="4"/>
    </row>
    <row r="124">
      <c r="A124" s="4" t="str">
        <f>IFERROR(__xludf.DUMMYFUNCTION("""COMPUTED_VALUE"""),"सोहम आरेकर")</f>
        <v>सोहम आरेकर</v>
      </c>
      <c r="B124" s="4">
        <f>IFERROR(__xludf.DUMMYFUNCTION("""COMPUTED_VALUE"""),28.0)</f>
        <v>28</v>
      </c>
      <c r="C124" s="4">
        <f>IFERROR(__xludf.DUMMYFUNCTION("""COMPUTED_VALUE"""),350.0)</f>
        <v>350</v>
      </c>
      <c r="D124" s="4" t="str">
        <f>IFERROR(__xludf.DUMMYFUNCTION("""COMPUTED_VALUE"""),"Cash")</f>
        <v>Cash</v>
      </c>
    </row>
    <row r="125">
      <c r="A125" s="4" t="str">
        <f>IFERROR(__xludf.DUMMYFUNCTION("""COMPUTED_VALUE"""),"देव")</f>
        <v>देव</v>
      </c>
      <c r="B125" s="4">
        <f>IFERROR(__xludf.DUMMYFUNCTION("""COMPUTED_VALUE"""),26.0)</f>
        <v>26</v>
      </c>
      <c r="C125" s="4">
        <f>IFERROR(__xludf.DUMMYFUNCTION("""COMPUTED_VALUE"""),0.0)</f>
        <v>0</v>
      </c>
      <c r="D125" s="4"/>
    </row>
    <row r="126">
      <c r="A126" s="4" t="str">
        <f>IFERROR(__xludf.DUMMYFUNCTION("""COMPUTED_VALUE"""),"नितेश चौधरी")</f>
        <v>नितेश चौधरी</v>
      </c>
      <c r="B126" s="4">
        <f>IFERROR(__xludf.DUMMYFUNCTION("""COMPUTED_VALUE"""),26.0)</f>
        <v>26</v>
      </c>
      <c r="C126" s="4">
        <f>IFERROR(__xludf.DUMMYFUNCTION("""COMPUTED_VALUE"""),200.0)</f>
        <v>200</v>
      </c>
      <c r="D126" s="4" t="str">
        <f>IFERROR(__xludf.DUMMYFUNCTION("""COMPUTED_VALUE"""),"GPay")</f>
        <v>GPay</v>
      </c>
    </row>
    <row r="127">
      <c r="A127" s="4" t="str">
        <f>IFERROR(__xludf.DUMMYFUNCTION("""COMPUTED_VALUE"""),"क्रियान ")</f>
        <v>क्रियान </v>
      </c>
      <c r="B127" s="4">
        <f>IFERROR(__xludf.DUMMYFUNCTION("""COMPUTED_VALUE"""),26.0)</f>
        <v>26</v>
      </c>
      <c r="C127" s="4">
        <f>IFERROR(__xludf.DUMMYFUNCTION("""COMPUTED_VALUE"""),200.0)</f>
        <v>200</v>
      </c>
      <c r="D127" s="4" t="str">
        <f>IFERROR(__xludf.DUMMYFUNCTION("""COMPUTED_VALUE"""),"Cash")</f>
        <v>Cash</v>
      </c>
    </row>
    <row r="128">
      <c r="A128" s="4" t="str">
        <f>IFERROR(__xludf.DUMMYFUNCTION("""COMPUTED_VALUE"""),"तनिष राऊत")</f>
        <v>तनिष राऊत</v>
      </c>
      <c r="B128" s="4">
        <f>IFERROR(__xludf.DUMMYFUNCTION("""COMPUTED_VALUE"""),24.0)</f>
        <v>24</v>
      </c>
      <c r="C128" s="4">
        <f>IFERROR(__xludf.DUMMYFUNCTION("""COMPUTED_VALUE"""),200.0)</f>
        <v>200</v>
      </c>
      <c r="D128" s="4" t="str">
        <f>IFERROR(__xludf.DUMMYFUNCTION("""COMPUTED_VALUE"""),"Cash")</f>
        <v>Cash</v>
      </c>
    </row>
    <row r="129">
      <c r="A129" s="4" t="str">
        <f>IFERROR(__xludf.DUMMYFUNCTION("""COMPUTED_VALUE"""),"भावेश मेहेर")</f>
        <v>भावेश मेहेर</v>
      </c>
      <c r="B129" s="4">
        <f>IFERROR(__xludf.DUMMYFUNCTION("""COMPUTED_VALUE"""),24.0)</f>
        <v>24</v>
      </c>
      <c r="C129" s="4">
        <f>IFERROR(__xludf.DUMMYFUNCTION("""COMPUTED_VALUE"""),200.0)</f>
        <v>200</v>
      </c>
      <c r="D129" s="4" t="str">
        <f>IFERROR(__xludf.DUMMYFUNCTION("""COMPUTED_VALUE"""),"GPay")</f>
        <v>GPay</v>
      </c>
    </row>
    <row r="130">
      <c r="A130" s="4" t="str">
        <f>IFERROR(__xludf.DUMMYFUNCTION("""COMPUTED_VALUE"""),"नितेश चौधरी")</f>
        <v>नितेश चौधरी</v>
      </c>
      <c r="B130" s="4">
        <f>IFERROR(__xludf.DUMMYFUNCTION("""COMPUTED_VALUE"""),24.0)</f>
        <v>24</v>
      </c>
      <c r="C130" s="4">
        <f>IFERROR(__xludf.DUMMYFUNCTION("""COMPUTED_VALUE"""),200.0)</f>
        <v>200</v>
      </c>
      <c r="D130" s="4" t="str">
        <f>IFERROR(__xludf.DUMMYFUNCTION("""COMPUTED_VALUE"""),"GPay")</f>
        <v>GPay</v>
      </c>
    </row>
    <row r="131">
      <c r="A131" s="4" t="str">
        <f>IFERROR(__xludf.DUMMYFUNCTION("""COMPUTED_VALUE"""),"ग्रंथा नाईक")</f>
        <v>ग्रंथा नाईक</v>
      </c>
      <c r="B131" s="4">
        <f>IFERROR(__xludf.DUMMYFUNCTION("""COMPUTED_VALUE"""),24.0)</f>
        <v>24</v>
      </c>
      <c r="C131" s="4">
        <f>IFERROR(__xludf.DUMMYFUNCTION("""COMPUTED_VALUE"""),100.0)</f>
        <v>100</v>
      </c>
      <c r="D131" s="4" t="str">
        <f>IFERROR(__xludf.DUMMYFUNCTION("""COMPUTED_VALUE"""),"Cash")</f>
        <v>Cash</v>
      </c>
    </row>
    <row r="132">
      <c r="A132" s="4" t="str">
        <f>IFERROR(__xludf.DUMMYFUNCTION("""COMPUTED_VALUE"""),"सागर दवणे ")</f>
        <v>सागर दवणे </v>
      </c>
      <c r="B132" s="4">
        <f>IFERROR(__xludf.DUMMYFUNCTION("""COMPUTED_VALUE"""),24.0)</f>
        <v>24</v>
      </c>
      <c r="C132" s="4">
        <f>IFERROR(__xludf.DUMMYFUNCTION("""COMPUTED_VALUE"""),0.0)</f>
        <v>0</v>
      </c>
      <c r="D132" s="4"/>
    </row>
    <row r="133">
      <c r="A133" s="4" t="str">
        <f>IFERROR(__xludf.DUMMYFUNCTION("""COMPUTED_VALUE"""),"अक्ष चौधरी")</f>
        <v>अक्ष चौधरी</v>
      </c>
      <c r="B133" s="4">
        <f>IFERROR(__xludf.DUMMYFUNCTION("""COMPUTED_VALUE"""),24.0)</f>
        <v>24</v>
      </c>
      <c r="C133" s="4">
        <f>IFERROR(__xludf.DUMMYFUNCTION("""COMPUTED_VALUE"""),0.0)</f>
        <v>0</v>
      </c>
      <c r="D133" s="4"/>
    </row>
    <row r="134">
      <c r="A134" s="4" t="str">
        <f>IFERROR(__xludf.DUMMYFUNCTION("""COMPUTED_VALUE"""),"वेदांत पाटील ")</f>
        <v>वेदांत पाटील </v>
      </c>
      <c r="B134" s="4">
        <f>IFERROR(__xludf.DUMMYFUNCTION("""COMPUTED_VALUE"""),24.0)</f>
        <v>24</v>
      </c>
      <c r="C134" s="4">
        <f>IFERROR(__xludf.DUMMYFUNCTION("""COMPUTED_VALUE"""),200.0)</f>
        <v>200</v>
      </c>
      <c r="D134" s="4" t="str">
        <f>IFERROR(__xludf.DUMMYFUNCTION("""COMPUTED_VALUE"""),"Cash")</f>
        <v>Cash</v>
      </c>
    </row>
    <row r="135">
      <c r="A135" s="4" t="str">
        <f>IFERROR(__xludf.DUMMYFUNCTION("""COMPUTED_VALUE"""),"भावनेश मेहेर ")</f>
        <v>भावनेश मेहेर </v>
      </c>
      <c r="B135" s="4">
        <f>IFERROR(__xludf.DUMMYFUNCTION("""COMPUTED_VALUE"""),24.0)</f>
        <v>24</v>
      </c>
      <c r="C135" s="4">
        <f>IFERROR(__xludf.DUMMYFUNCTION("""COMPUTED_VALUE"""),350.0)</f>
        <v>350</v>
      </c>
      <c r="D135" s="4" t="str">
        <f>IFERROR(__xludf.DUMMYFUNCTION("""COMPUTED_VALUE"""),"GPay")</f>
        <v>GPay</v>
      </c>
    </row>
    <row r="136">
      <c r="A136" s="4" t="str">
        <f>IFERROR(__xludf.DUMMYFUNCTION("""COMPUTED_VALUE"""),"व्रिहा चौधरी")</f>
        <v>व्रिहा चौधरी</v>
      </c>
      <c r="B136" s="4">
        <f>IFERROR(__xludf.DUMMYFUNCTION("""COMPUTED_VALUE"""),24.0)</f>
        <v>24</v>
      </c>
      <c r="C136" s="4">
        <f>IFERROR(__xludf.DUMMYFUNCTION("""COMPUTED_VALUE"""),200.0)</f>
        <v>200</v>
      </c>
      <c r="D136" s="4" t="str">
        <f>IFERROR(__xludf.DUMMYFUNCTION("""COMPUTED_VALUE"""),"GPay")</f>
        <v>GPay</v>
      </c>
    </row>
    <row r="137">
      <c r="A137" s="4" t="str">
        <f>IFERROR(__xludf.DUMMYFUNCTION("""COMPUTED_VALUE"""),"वैभव राऊत")</f>
        <v>वैभव राऊत</v>
      </c>
      <c r="B137" s="4">
        <f>IFERROR(__xludf.DUMMYFUNCTION("""COMPUTED_VALUE"""),24.0)</f>
        <v>24</v>
      </c>
      <c r="C137" s="4">
        <f>IFERROR(__xludf.DUMMYFUNCTION("""COMPUTED_VALUE"""),250.0)</f>
        <v>250</v>
      </c>
      <c r="D137" s="4" t="str">
        <f>IFERROR(__xludf.DUMMYFUNCTION("""COMPUTED_VALUE"""),"GPay")</f>
        <v>GPay</v>
      </c>
    </row>
    <row r="138">
      <c r="A138" s="4" t="str">
        <f>IFERROR(__xludf.DUMMYFUNCTION("""COMPUTED_VALUE"""),"श्रीशा चौधरी")</f>
        <v>श्रीशा चौधरी</v>
      </c>
      <c r="B138" s="4">
        <f>IFERROR(__xludf.DUMMYFUNCTION("""COMPUTED_VALUE"""),22.0)</f>
        <v>22</v>
      </c>
      <c r="C138" s="4">
        <f>IFERROR(__xludf.DUMMYFUNCTION("""COMPUTED_VALUE"""),350.0)</f>
        <v>350</v>
      </c>
      <c r="D138" s="4" t="str">
        <f>IFERROR(__xludf.DUMMYFUNCTION("""COMPUTED_VALUE"""),"GPay")</f>
        <v>GPay</v>
      </c>
    </row>
    <row r="139">
      <c r="A139" s="4" t="str">
        <f>IFERROR(__xludf.DUMMYFUNCTION("""COMPUTED_VALUE"""),"चिरायु केणी ")</f>
        <v>चिरायु केणी </v>
      </c>
      <c r="B139" s="4">
        <f>IFERROR(__xludf.DUMMYFUNCTION("""COMPUTED_VALUE"""),22.0)</f>
        <v>22</v>
      </c>
      <c r="C139" s="4">
        <f>IFERROR(__xludf.DUMMYFUNCTION("""COMPUTED_VALUE"""),0.0)</f>
        <v>0</v>
      </c>
      <c r="D139" s="4" t="str">
        <f>IFERROR(__xludf.DUMMYFUNCTION("""COMPUTED_VALUE"""),"Pending")</f>
        <v>Pending</v>
      </c>
    </row>
    <row r="140">
      <c r="A140" s="4" t="str">
        <f>IFERROR(__xludf.DUMMYFUNCTION("""COMPUTED_VALUE"""),"तुषार नाईक ")</f>
        <v>तुषार नाईक </v>
      </c>
      <c r="B140" s="4">
        <f>IFERROR(__xludf.DUMMYFUNCTION("""COMPUTED_VALUE"""),22.0)</f>
        <v>22</v>
      </c>
      <c r="C140" s="4">
        <f>IFERROR(__xludf.DUMMYFUNCTION("""COMPUTED_VALUE"""),200.0)</f>
        <v>200</v>
      </c>
      <c r="D140" s="4" t="str">
        <f>IFERROR(__xludf.DUMMYFUNCTION("""COMPUTED_VALUE"""),"GPay")</f>
        <v>GPay</v>
      </c>
    </row>
    <row r="141">
      <c r="A141" s="4" t="str">
        <f>IFERROR(__xludf.DUMMYFUNCTION("""COMPUTED_VALUE"""),"जिवेश मेहेर")</f>
        <v>जिवेश मेहेर</v>
      </c>
      <c r="B141" s="4">
        <f>IFERROR(__xludf.DUMMYFUNCTION("""COMPUTED_VALUE"""),22.0)</f>
        <v>22</v>
      </c>
      <c r="C141" s="4">
        <f>IFERROR(__xludf.DUMMYFUNCTION("""COMPUTED_VALUE"""),350.0)</f>
        <v>350</v>
      </c>
      <c r="D141" s="4" t="str">
        <f>IFERROR(__xludf.DUMMYFUNCTION("""COMPUTED_VALUE"""),"Cash")</f>
        <v>Cash</v>
      </c>
    </row>
    <row r="142">
      <c r="A142" s="4" t="str">
        <f>IFERROR(__xludf.DUMMYFUNCTION("""COMPUTED_VALUE"""),"दक्ष पाटील")</f>
        <v>दक्ष पाटील</v>
      </c>
      <c r="B142" s="4">
        <f>IFERROR(__xludf.DUMMYFUNCTION("""COMPUTED_VALUE"""),22.0)</f>
        <v>22</v>
      </c>
      <c r="C142" s="4">
        <f>IFERROR(__xludf.DUMMYFUNCTION("""COMPUTED_VALUE"""),100.0)</f>
        <v>100</v>
      </c>
      <c r="D142" s="4" t="str">
        <f>IFERROR(__xludf.DUMMYFUNCTION("""COMPUTED_VALUE"""),"Cash")</f>
        <v>Cash</v>
      </c>
    </row>
    <row r="143">
      <c r="A143" s="4" t="str">
        <f>IFERROR(__xludf.DUMMYFUNCTION("""COMPUTED_VALUE"""),"भावेश मेहेर")</f>
        <v>भावेश मेहेर</v>
      </c>
      <c r="B143" s="4">
        <f>IFERROR(__xludf.DUMMYFUNCTION("""COMPUTED_VALUE"""),22.0)</f>
        <v>22</v>
      </c>
      <c r="C143" s="4">
        <f>IFERROR(__xludf.DUMMYFUNCTION("""COMPUTED_VALUE"""),100.0)</f>
        <v>100</v>
      </c>
      <c r="D143" s="4" t="str">
        <f>IFERROR(__xludf.DUMMYFUNCTION("""COMPUTED_VALUE"""),"GPay")</f>
        <v>GPay</v>
      </c>
    </row>
    <row r="144">
      <c r="A144" s="4" t="str">
        <f>IFERROR(__xludf.DUMMYFUNCTION("""COMPUTED_VALUE"""),"रोहित तांडेल ")</f>
        <v>रोहित तांडेल </v>
      </c>
      <c r="B144" s="4">
        <f>IFERROR(__xludf.DUMMYFUNCTION("""COMPUTED_VALUE"""),22.0)</f>
        <v>22</v>
      </c>
      <c r="C144" s="4">
        <f>IFERROR(__xludf.DUMMYFUNCTION("""COMPUTED_VALUE"""),0.0)</f>
        <v>0</v>
      </c>
      <c r="D144" s="4"/>
    </row>
    <row r="145">
      <c r="A145" s="4" t="str">
        <f>IFERROR(__xludf.DUMMYFUNCTION("""COMPUTED_VALUE"""),"प्रतिक चौधरी")</f>
        <v>प्रतिक चौधरी</v>
      </c>
      <c r="B145" s="4">
        <f>IFERROR(__xludf.DUMMYFUNCTION("""COMPUTED_VALUE"""),20.0)</f>
        <v>20</v>
      </c>
      <c r="C145" s="4">
        <f>IFERROR(__xludf.DUMMYFUNCTION("""COMPUTED_VALUE"""),0.0)</f>
        <v>0</v>
      </c>
      <c r="D145" s="4"/>
    </row>
    <row r="146">
      <c r="A146" s="4" t="str">
        <f>IFERROR(__xludf.DUMMYFUNCTION("""COMPUTED_VALUE"""),"मंथ केनी")</f>
        <v>मंथ केनी</v>
      </c>
      <c r="B146" s="4">
        <f>IFERROR(__xludf.DUMMYFUNCTION("""COMPUTED_VALUE"""),20.0)</f>
        <v>20</v>
      </c>
      <c r="C146" s="4">
        <f>IFERROR(__xludf.DUMMYFUNCTION("""COMPUTED_VALUE"""),0.0)</f>
        <v>0</v>
      </c>
      <c r="D146" s="4"/>
    </row>
    <row r="147">
      <c r="A147" s="4" t="str">
        <f>IFERROR(__xludf.DUMMYFUNCTION("""COMPUTED_VALUE"""),"चिरायु केणी ")</f>
        <v>चिरायु केणी </v>
      </c>
      <c r="B147" s="4">
        <f>IFERROR(__xludf.DUMMYFUNCTION("""COMPUTED_VALUE"""),20.0)</f>
        <v>20</v>
      </c>
      <c r="C147" s="4">
        <f>IFERROR(__xludf.DUMMYFUNCTION("""COMPUTED_VALUE"""),350.0)</f>
        <v>350</v>
      </c>
      <c r="D147" s="4" t="str">
        <f>IFERROR(__xludf.DUMMYFUNCTION("""COMPUTED_VALUE"""),"GPay")</f>
        <v>GPay</v>
      </c>
    </row>
    <row r="148">
      <c r="A148" s="4" t="str">
        <f>IFERROR(__xludf.DUMMYFUNCTION("""COMPUTED_VALUE"""),"नितेश चौधरी")</f>
        <v>नितेश चौधरी</v>
      </c>
      <c r="B148" s="4">
        <f>IFERROR(__xludf.DUMMYFUNCTION("""COMPUTED_VALUE"""),20.0)</f>
        <v>20</v>
      </c>
      <c r="C148" s="4">
        <f>IFERROR(__xludf.DUMMYFUNCTION("""COMPUTED_VALUE"""),200.0)</f>
        <v>200</v>
      </c>
      <c r="D148" s="4" t="str">
        <f>IFERROR(__xludf.DUMMYFUNCTION("""COMPUTED_VALUE"""),"GPay")</f>
        <v>GPay</v>
      </c>
    </row>
    <row r="149">
      <c r="A149" s="4" t="str">
        <f>IFERROR(__xludf.DUMMYFUNCTION("""COMPUTED_VALUE"""),"प्रणाली पाटील")</f>
        <v>प्रणाली पाटील</v>
      </c>
      <c r="B149" s="4">
        <f>IFERROR(__xludf.DUMMYFUNCTION("""COMPUTED_VALUE"""),20.0)</f>
        <v>20</v>
      </c>
      <c r="C149" s="4">
        <f>IFERROR(__xludf.DUMMYFUNCTION("""COMPUTED_VALUE"""),350.0)</f>
        <v>350</v>
      </c>
      <c r="D149" s="4" t="str">
        <f>IFERROR(__xludf.DUMMYFUNCTION("""COMPUTED_VALUE"""),"GPay")</f>
        <v>GPay</v>
      </c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